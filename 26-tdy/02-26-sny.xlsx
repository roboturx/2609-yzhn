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PLM" sheetId="1" state="visible" r:id="rId3"/>
    <sheet name="SnyA105-25" sheetId="2" state="visible" r:id="rId4"/>
    <sheet name="SnyB202-25" sheetId="3" state="visible" r:id="rId5"/>
    <sheet name="SnyC301-25" sheetId="4" state="visible" r:id="rId6"/>
    <sheet name="SnyCD-HSP-2025" sheetId="5" state="visible" r:id="rId7"/>
    <sheet name="SnyE503-25" sheetId="6" state="visible" r:id="rId8"/>
    <sheet name="SnyE502-22" sheetId="7" state="visible" r:id="rId9"/>
    <sheet name="SnyF601-22" sheetId="8" state="visible" r:id="rId10"/>
    <sheet name="snyF-HSP" sheetId="9" state="visible" r:id="rId11"/>
    <sheet name="snyF-HSP (2025)" sheetId="10" state="visible" r:id="rId12"/>
    <sheet name="SnyG702-22" sheetId="11" state="visible" r:id="rId13"/>
    <sheet name="SnH_yazıhane" sheetId="12" state="visible" r:id="rId14"/>
    <sheet name="NAZAN_25" sheetId="13" state="visible" r:id="rId15"/>
    <sheet name="NAZAN_24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<sst xmlns="http://schemas.openxmlformats.org/spreadsheetml/2006/main" count="950" uniqueCount="533">
  <si>
    <t xml:space="preserve">Ödeme Teminat Tablosu</t>
  </si>
  <si>
    <t xml:space="preserve">Alınan</t>
  </si>
  <si>
    <t xml:space="preserve">Tutar</t>
  </si>
  <si>
    <t xml:space="preserve">Ödeme</t>
  </si>
  <si>
    <t xml:space="preserve">Kalan</t>
  </si>
  <si>
    <t xml:space="preserve">Teminat</t>
  </si>
  <si>
    <t xml:space="preserve">SnyA</t>
  </si>
  <si>
    <t xml:space="preserve">Yıkamacı samed</t>
  </si>
  <si>
    <t xml:space="preserve">SnyB</t>
  </si>
  <si>
    <t xml:space="preserve">Motorcu salih</t>
  </si>
  <si>
    <t xml:space="preserve">SnyCD</t>
  </si>
  <si>
    <t xml:space="preserve">Hurdacı ali</t>
  </si>
  <si>
    <t xml:space="preserve">SnyE</t>
  </si>
  <si>
    <t xml:space="preserve">Motorcu cihan</t>
  </si>
  <si>
    <t xml:space="preserve">SnyF</t>
  </si>
  <si>
    <t xml:space="preserve">Demirci merdal</t>
  </si>
  <si>
    <t xml:space="preserve">SnyG</t>
  </si>
  <si>
    <t xml:space="preserve">Motorcu Metin</t>
  </si>
  <si>
    <t xml:space="preserve">SnyH</t>
  </si>
  <si>
    <t xml:space="preserve">Yazıhane</t>
  </si>
  <si>
    <t xml:space="preserve">Toplamlar</t>
  </si>
  <si>
    <t xml:space="preserve">SnyC</t>
  </si>
  <si>
    <t xml:space="preserve">SnyD</t>
  </si>
  <si>
    <t xml:space="preserve">snA-086-20230930-080-samedTURGUT</t>
  </si>
  <si>
    <t xml:space="preserve">55 m2 Boya</t>
  </si>
  <si>
    <t xml:space="preserve">Tarih</t>
  </si>
  <si>
    <t xml:space="preserve">Açıklama</t>
  </si>
  <si>
    <t xml:space="preserve">Kira bedeli</t>
  </si>
  <si>
    <t xml:space="preserve">Bakiye</t>
  </si>
  <si>
    <t xml:space="preserve">Masraf</t>
  </si>
  <si>
    <t xml:space="preserve">NET</t>
  </si>
  <si>
    <t xml:space="preserve">,</t>
  </si>
  <si>
    <t xml:space="preserve">30-09-2023 – 31-09-2024</t>
  </si>
  <si>
    <t xml:space="preserve">30-09-2024 – 31-09-2025</t>
  </si>
  <si>
    <t xml:space="preserve">ÖDEME YAPILMADI</t>
  </si>
  <si>
    <t xml:space="preserve">30-09-2025 – 31-09-2026</t>
  </si>
  <si>
    <t xml:space="preserve"> - 2023 -</t>
  </si>
  <si>
    <t xml:space="preserve">ELEKTRİK (kendi abonesi var)</t>
  </si>
  <si>
    <t xml:space="preserve">Su (ödenmiş yazar)</t>
  </si>
  <si>
    <t xml:space="preserve">Tutarı</t>
  </si>
  <si>
    <t xml:space="preserve">( 0 TL )</t>
  </si>
  <si>
    <t xml:space="preserve">Devreden Teminat</t>
  </si>
  <si>
    <t xml:space="preserve">Ocak</t>
  </si>
  <si>
    <t xml:space="preserve">200 TL su alımı 08-01-24</t>
  </si>
  <si>
    <t xml:space="preserve">Şubat</t>
  </si>
  <si>
    <t xml:space="preserve">ortak hesaptan ödeme 08-01-24</t>
  </si>
  <si>
    <t xml:space="preserve">Mart</t>
  </si>
  <si>
    <t xml:space="preserve">ortak hesaptan ödeme 18-03-24</t>
  </si>
  <si>
    <t xml:space="preserve">Nisan</t>
  </si>
  <si>
    <t xml:space="preserve">Mayıs</t>
  </si>
  <si>
    <t xml:space="preserve">Haziran</t>
  </si>
  <si>
    <t xml:space="preserve">Temmuz</t>
  </si>
  <si>
    <t xml:space="preserve">Ağustos</t>
  </si>
  <si>
    <t xml:space="preserve">Eylül</t>
  </si>
  <si>
    <t xml:space="preserve">Ekim</t>
  </si>
  <si>
    <t xml:space="preserve">Kasım</t>
  </si>
  <si>
    <t xml:space="preserve">Aralık</t>
  </si>
  <si>
    <t xml:space="preserve">snyA</t>
  </si>
  <si>
    <t xml:space="preserve">Açıklamalar-Masraflar</t>
  </si>
  <si>
    <t xml:space="preserve">2027 kirası</t>
  </si>
  <si>
    <t xml:space="preserve">2026 kirası</t>
  </si>
  <si>
    <t xml:space="preserve">2025 kirası</t>
  </si>
  <si>
    <t xml:space="preserve">Ahmet ilterin devrettiği 3. şahıslardan devralmak için yanıma geldi</t>
  </si>
  <si>
    <t xml:space="preserve">Ödeme peşin olursa devralabileceğini söyledim</t>
  </si>
  <si>
    <t xml:space="preserve">Ödemeyi 01-09-2023 Cuma günü yapacağını ifade etti. Tamam dedim</t>
  </si>
  <si>
    <t xml:space="preserve">Ödeme yapılmadı</t>
  </si>
  <si>
    <t xml:space="preserve">Çağırdım. 3. şahıslarla kavga ettiklerini bana ödeyecekleri kira bedelini onlara, aldıklar</t>
  </si>
  <si>
    <t xml:space="preserve">malzeme bedeli olarak ödediklerini, şahin marka arabasını satıp bedeli ödeyeceklerini</t>
  </si>
  <si>
    <t xml:space="preserve">ama aracında bir arkadaşı tarafından kaza yapıp pert olduğunu söyledi.</t>
  </si>
  <si>
    <t xml:space="preserve">Bunun üzerine 30 Eylül 2023 tarine kadar ödeme için süre verdim.</t>
  </si>
  <si>
    <t xml:space="preserve">Ekim ayına geçilirse aylık tüfe farkı ekleme yapacağımı söyledim</t>
  </si>
  <si>
    <t xml:space="preserve">Eylülde ödeme yapılmazsa ekim başında ahmet ilterin tahliyesini devreye alacam.</t>
  </si>
  <si>
    <t xml:space="preserve">Samedle sözleşme yapmadığım için halen ahmet ilter resmen kiracı</t>
  </si>
  <si>
    <t xml:space="preserve">74000 TL Nakit Ödeme yapıldı</t>
  </si>
  <si>
    <t xml:space="preserve">süreyi eylül sonu olarak başlattım. Bir ay ücretsiz oturmuş oldu.</t>
  </si>
  <si>
    <t xml:space="preserve">Ali Umut Balcı ya kira bedeli yazılmadan 10000 TL yollandı</t>
  </si>
  <si>
    <t xml:space="preserve">snA-000-20221030-070-AhmetILTER</t>
  </si>
  <si>
    <t xml:space="preserve">Boya kira</t>
  </si>
  <si>
    <t xml:space="preserve">Kira Bedeli</t>
  </si>
  <si>
    <t xml:space="preserve">Toplam Ödeme</t>
  </si>
  <si>
    <t xml:space="preserve"> Masraf</t>
  </si>
  <si>
    <t xml:space="preserve">Net Kira</t>
  </si>
  <si>
    <t xml:space="preserve">Yıkamacı</t>
  </si>
  <si>
    <t xml:space="preserve">Ahmet İlter</t>
  </si>
  <si>
    <t xml:space="preserve">20-11-2022 – 19-11-2023 Kira Bedeli</t>
  </si>
  <si>
    <t xml:space="preserve">Kira Bedeli 42000</t>
  </si>
  <si>
    <t xml:space="preserve">42000 TL OLAN KİRA BEDELİNİN</t>
  </si>
  <si>
    <t xml:space="preserve">2000 TL Sİ ÖDENMEDİĞİ İÇİN</t>
  </si>
  <si>
    <t xml:space="preserve">TARİH</t>
  </si>
  <si>
    <t xml:space="preserve">30-10-2022 – 29-10-2023</t>
  </si>
  <si>
    <t xml:space="preserve">BEDEL</t>
  </si>
  <si>
    <t xml:space="preserve">42000 TL</t>
  </si>
  <si>
    <t xml:space="preserve">Tarih 20 gün geri çekildi</t>
  </si>
  <si>
    <t xml:space="preserve">Ahmet ilter ebubekir ve ahmet tolan adında 2 kişiye izinsiz devir yaptı</t>
  </si>
  <si>
    <t xml:space="preserve">Tahliye taahütnamesi avukata verildi.</t>
  </si>
  <si>
    <t xml:space="preserve">Örnek 14 tahliye emri yollandı</t>
  </si>
  <si>
    <t xml:space="preserve">10-08 de bilinen adrese yapılan tebligat teslim edilemediğinden</t>
  </si>
  <si>
    <t xml:space="preserve">tebligat mernis adresine tebligat kanunu 22/1 maddesine göre</t>
  </si>
  <si>
    <t xml:space="preserve">gönderildi</t>
  </si>
  <si>
    <t xml:space="preserve">tebligat ilk önce borçlunun bilinen son adresine gönderilir.</t>
  </si>
  <si>
    <t xml:space="preserve">teslim edilemezse tekrar mernis adresine gönderilir ve muhtara bırakılır</t>
  </si>
  <si>
    <t xml:space="preserve">Muhtara teslim tarihi tebliğ tarihidir ve ödeme emrindeki süreler</t>
  </si>
  <si>
    <t xml:space="preserve">bu tarihe göre hesaplanır.</t>
  </si>
  <si>
    <t xml:space="preserve">İtiraz süresi içerisinde itiraz edilmediği için tahliye kesinleşti.</t>
  </si>
  <si>
    <t xml:space="preserve">Bu aşamada icra dairesi gerekirse kiracıyı zorla çıkarır.</t>
  </si>
  <si>
    <t xml:space="preserve">Biz bu yola gitmeye hazırlanırken 3. şahıslar Samed TURGUT a devir</t>
  </si>
  <si>
    <t xml:space="preserve">yaptılar</t>
  </si>
  <si>
    <t xml:space="preserve">SnyB203-22  </t>
  </si>
  <si>
    <t xml:space="preserve">200 m2 Karo kira</t>
  </si>
  <si>
    <t xml:space="preserve"> - 2025 -</t>
  </si>
  <si>
    <t xml:space="preserve">1-1-25 * 31-12-2025</t>
  </si>
  <si>
    <t xml:space="preserve">16 * 22 104 KİRA BEDELİ</t>
  </si>
  <si>
    <t xml:space="preserve">BANKA ÖDEMESİ</t>
  </si>
  <si>
    <t xml:space="preserve">08/01/2024-15:58:33</t>
  </si>
  <si>
    <t xml:space="preserve">08/01/2024</t>
  </si>
  <si>
    <t xml:space="preserve">SALİH ANT*0111*2024 yılı iş yeri kira bedeli*1307883986*FAST</t>
  </si>
  <si>
    <t xml:space="preserve">15800126861620240108155833647</t>
  </si>
  <si>
    <t xml:space="preserve">ELEKTRİK </t>
  </si>
  <si>
    <t xml:space="preserve">Su</t>
  </si>
  <si>
    <t xml:space="preserve">Su-Elektrik Ocak</t>
  </si>
  <si>
    <t xml:space="preserve">Su-Elektrik Şubat</t>
  </si>
  <si>
    <t xml:space="preserve">Su-Elektrik art</t>
  </si>
  <si>
    <t xml:space="preserve">Su-Elektrik Nisan</t>
  </si>
  <si>
    <t xml:space="preserve">Su-Elektrik Mayıs</t>
  </si>
  <si>
    <t xml:space="preserve">Su-Elektrik Haziran </t>
  </si>
  <si>
    <t xml:space="preserve">Su-Elektrik Temmuz </t>
  </si>
  <si>
    <t xml:space="preserve">Su-Elektrik Ağustos</t>
  </si>
  <si>
    <t xml:space="preserve">Su-Elektrik Eylül</t>
  </si>
  <si>
    <t xml:space="preserve">Su-Elektrik Ekim</t>
  </si>
  <si>
    <t xml:space="preserve">Su-Elektrik Kasım</t>
  </si>
  <si>
    <t xml:space="preserve">Su-Elektrik Aralık</t>
  </si>
  <si>
    <t xml:space="preserve">KALAN</t>
  </si>
  <si>
    <t xml:space="preserve">snyB</t>
  </si>
  <si>
    <t xml:space="preserve">Salih Ant - 3.yıl</t>
  </si>
  <si>
    <t xml:space="preserve">2024 de yapılan sözleşme de"3. yıl yıllık kira bedeli 16 asgari ücret uygulanacak" tı</t>
  </si>
  <si>
    <t xml:space="preserve">01-01-25 - 31-12-25 kira bedeli</t>
  </si>
  <si>
    <t xml:space="preserve">16 asgari ücret</t>
  </si>
  <si>
    <t xml:space="preserve">Yapılan Ödeme</t>
  </si>
  <si>
    <t xml:space="preserve">bankadan ödeme</t>
  </si>
  <si>
    <t xml:space="preserve">Mahkemede</t>
  </si>
  <si>
    <t xml:space="preserve">Salih Ant - 2.yıl</t>
  </si>
  <si>
    <t xml:space="preserve">3. yıl yıllık kira bedeli 16 asgari ücret uygulanacak</t>
  </si>
  <si>
    <t xml:space="preserve">01-01-24 - 31-12-24 kira bedeli</t>
  </si>
  <si>
    <t xml:space="preserve">1-1-24  -  31-12-24 kira bedeli</t>
  </si>
  <si>
    <t xml:space="preserve">kira bedeli 16 asgari ücret </t>
  </si>
  <si>
    <t xml:space="preserve">2024 için 1 defalık bir önceki yıl asgari ücreti uygulandı</t>
  </si>
  <si>
    <t xml:space="preserve">2025 te 2025 asgari ücret * 16 uygulanacak</t>
  </si>
  <si>
    <t xml:space="preserve">indiirim</t>
  </si>
  <si>
    <t xml:space="preserve">nakit ödeme</t>
  </si>
  <si>
    <t xml:space="preserve">bankadan umuta</t>
  </si>
  <si>
    <t xml:space="preserve">Salih Ant - 1.yıl</t>
  </si>
  <si>
    <t xml:space="preserve">İlk anlaşma 7-11-22 de yapıldı</t>
  </si>
  <si>
    <t xml:space="preserve">01-01-23 - 31-12-23 kira bedeli 2022 yılında  Ödendi</t>
  </si>
  <si>
    <t xml:space="preserve">snCD-080-03-2211-Vinc</t>
  </si>
  <si>
    <t xml:space="preserve">400 m2 Vinç kira</t>
  </si>
  <si>
    <t xml:space="preserve">Tüfe %</t>
  </si>
  <si>
    <t xml:space="preserve">Tahliye için icraya başvuruldu</t>
  </si>
  <si>
    <t xml:space="preserve"> - 2024 -</t>
  </si>
  <si>
    <t xml:space="preserve">30-11-23 * 29-11-24</t>
  </si>
  <si>
    <t xml:space="preserve">Ödeme Umuta bankadan</t>
  </si>
  <si>
    <t xml:space="preserve">snyCD</t>
  </si>
  <si>
    <t xml:space="preserve">Ali Demirel - 4. yıl</t>
  </si>
  <si>
    <t xml:space="preserve">20-21 kira bedeli 36000 TL Ödendi</t>
  </si>
  <si>
    <t xml:space="preserve">21-22 kira bedeli 43160 TL Ödendi</t>
  </si>
  <si>
    <t xml:space="preserve">22-23 kira bedeli 82000 TL Ödendi</t>
  </si>
  <si>
    <t xml:space="preserve">23-24 bedel 240000 TL</t>
  </si>
  <si>
    <t xml:space="preserve">24-25 bedel 530000 TL</t>
  </si>
  <si>
    <t xml:space="preserve">kepçenin bozduğu 60cm*10 mt galvenizli oluk</t>
  </si>
  <si>
    <t xml:space="preserve">kepçenin bozduğu 10 adet trapez sac</t>
  </si>
  <si>
    <t xml:space="preserve">duvara dayalı camlar kırıldı</t>
  </si>
  <si>
    <t xml:space="preserve">Büyük- küçük bina çatı trapez saclarında hasar var</t>
  </si>
  <si>
    <t xml:space="preserve">büyük binanın saçağında hasar var</t>
  </si>
  <si>
    <t xml:space="preserve">büyük binanın duvarında sıva hasarı var</t>
  </si>
  <si>
    <t xml:space="preserve">büyük binanın iç tarafında tuğla ve sıva hasarı var</t>
  </si>
  <si>
    <t xml:space="preserve">mutfak tezgahı kırık</t>
  </si>
  <si>
    <t xml:space="preserve">paletli iş makinesi ile taban betonu hasarı var</t>
  </si>
  <si>
    <t xml:space="preserve">motorcunun alçıpanında hasar var ÖDENDİ TMNT</t>
  </si>
  <si>
    <t xml:space="preserve">motorcunun duvarında hasar var</t>
  </si>
  <si>
    <t xml:space="preserve">tuvalet için izinsiz kapı açtı</t>
  </si>
  <si>
    <t xml:space="preserve">yapıldı</t>
  </si>
  <si>
    <t xml:space="preserve">2021 de 2022 için ödemesi gereken kiraları ödemedi</t>
  </si>
  <si>
    <t xml:space="preserve">tmm</t>
  </si>
  <si>
    <t xml:space="preserve">arsa önüne malzeme yığıntısı var </t>
  </si>
  <si>
    <t xml:space="preserve">karonun çatısı kameracı tarafından ezilmiş</t>
  </si>
  <si>
    <t xml:space="preserve">Hurdacı Ali Demirel</t>
  </si>
  <si>
    <t xml:space="preserve">Ocak 2021- elektrik teminat için</t>
  </si>
  <si>
    <t xml:space="preserve">şubat</t>
  </si>
  <si>
    <t xml:space="preserve">mart</t>
  </si>
  <si>
    <t xml:space="preserve">nisan</t>
  </si>
  <si>
    <t xml:space="preserve">mayıs</t>
  </si>
  <si>
    <t xml:space="preserve">haziran</t>
  </si>
  <si>
    <t xml:space="preserve">temmuz</t>
  </si>
  <si>
    <t xml:space="preserve">ağustos</t>
  </si>
  <si>
    <t xml:space="preserve">eylül</t>
  </si>
  <si>
    <t xml:space="preserve">ekim</t>
  </si>
  <si>
    <t xml:space="preserve">kasım</t>
  </si>
  <si>
    <t xml:space="preserve">aralık</t>
  </si>
  <si>
    <t xml:space="preserve">2022 ye devreden Toplam Teminat</t>
  </si>
  <si>
    <t xml:space="preserve">2021 den devreden ödenmiş teminat</t>
  </si>
  <si>
    <t xml:space="preserve">Ocak 2022- elektrik teminat için</t>
  </si>
  <si>
    <t xml:space="preserve">Mayıs           50 su</t>
  </si>
  <si>
    <t xml:space="preserve">Haziran        200 su</t>
  </si>
  <si>
    <t xml:space="preserve">Temmuz       200 su</t>
  </si>
  <si>
    <t xml:space="preserve">Ağustos          50 su</t>
  </si>
  <si>
    <t xml:space="preserve">Eylül               50 su</t>
  </si>
  <si>
    <t xml:space="preserve">Ekim               50 su</t>
  </si>
  <si>
    <t xml:space="preserve">su</t>
  </si>
  <si>
    <t xml:space="preserve">kiradan kalan</t>
  </si>
  <si>
    <t xml:space="preserve">motorcu tavanı alçıpan hasarı</t>
  </si>
  <si>
    <t xml:space="preserve">2023 e devreden Toplam Teminat</t>
  </si>
  <si>
    <t xml:space="preserve"> - 2024 - 2025</t>
  </si>
  <si>
    <t xml:space="preserve">SNYCD-HESAP</t>
  </si>
  <si>
    <t xml:space="preserve">Tüfe </t>
  </si>
  <si>
    <t xml:space="preserve">kira tüfe farkı</t>
  </si>
  <si>
    <t xml:space="preserve">Endeks </t>
  </si>
  <si>
    <t xml:space="preserve"> %</t>
  </si>
  <si>
    <t xml:space="preserve"> Bedel</t>
  </si>
  <si>
    <t xml:space="preserve">bedel</t>
  </si>
  <si>
    <t xml:space="preserve">ödeme</t>
  </si>
  <si>
    <t xml:space="preserve">tüfe 2024-12</t>
  </si>
  <si>
    <t xml:space="preserve">2025 - 12 ay</t>
  </si>
  <si>
    <t xml:space="preserve">dava rededildi karşı avukat ücreti</t>
  </si>
  <si>
    <t xml:space="preserve">adet</t>
  </si>
  <si>
    <t xml:space="preserve">asg ücret</t>
  </si>
  <si>
    <t xml:space="preserve">yıllık</t>
  </si>
  <si>
    <t xml:space="preserve">aylık 2 asgari ücret</t>
  </si>
  <si>
    <t xml:space="preserve">aylık KİRA</t>
  </si>
  <si>
    <t xml:space="preserve">keşif harç masraf için emrullaha havale</t>
  </si>
  <si>
    <t xml:space="preserve">tüfe 11 </t>
  </si>
  <si>
    <t xml:space="preserve">2024 - 12/12 Kasım</t>
  </si>
  <si>
    <t xml:space="preserve">tüfe 10 </t>
  </si>
  <si>
    <t xml:space="preserve">2023-2024 - 11/12 Ekim </t>
  </si>
  <si>
    <t xml:space="preserve">tüfe 9</t>
  </si>
  <si>
    <t xml:space="preserve">2023 - 2024 10/12 Eylül  </t>
  </si>
  <si>
    <t xml:space="preserve">tüfe 8</t>
  </si>
  <si>
    <t xml:space="preserve">2023-2024 - 9/12 Ağustos</t>
  </si>
  <si>
    <t xml:space="preserve">tüfe 7</t>
  </si>
  <si>
    <t xml:space="preserve">2023-2024 - 8/12 Temmuz</t>
  </si>
  <si>
    <t xml:space="preserve">tüfe 6</t>
  </si>
  <si>
    <t xml:space="preserve">2023-2024 - 7/12 Haziran</t>
  </si>
  <si>
    <t xml:space="preserve">tüfe 5</t>
  </si>
  <si>
    <t xml:space="preserve">2023-2024 - 6/12 Mayıs</t>
  </si>
  <si>
    <t xml:space="preserve">tüfe 4</t>
  </si>
  <si>
    <t xml:space="preserve">2023-2024 - 5/12 Nisan</t>
  </si>
  <si>
    <t xml:space="preserve">tüfe 3</t>
  </si>
  <si>
    <t xml:space="preserve">2023-2024 - 4/12 Mart</t>
  </si>
  <si>
    <t xml:space="preserve">tüfe 2</t>
  </si>
  <si>
    <t xml:space="preserve">2023-2024 - 3/12 Şubat</t>
  </si>
  <si>
    <t xml:space="preserve">tüfe 01-2024</t>
  </si>
  <si>
    <t xml:space="preserve">avukat-noter vs</t>
  </si>
  <si>
    <t xml:space="preserve">2023-2024 - 2/12 Ocak</t>
  </si>
  <si>
    <t xml:space="preserve">tüfe 12</t>
  </si>
  <si>
    <t xml:space="preserve">2024-2025 - 1/12 Aralık</t>
  </si>
  <si>
    <t xml:space="preserve">tüfe 11</t>
  </si>
  <si>
    <r>
      <rPr>
        <b val="true"/>
        <sz val="11"/>
        <color rgb="FF000000"/>
        <rFont val="Arial"/>
        <family val="2"/>
        <charset val="162"/>
      </rPr>
      <t xml:space="preserve">SnyE</t>
    </r>
    <r>
      <rPr>
        <b val="true"/>
        <sz val="12"/>
        <color rgb="FF000000"/>
        <rFont val="Ubuntu Condensed"/>
        <family val="0"/>
        <charset val="1"/>
      </rPr>
      <t xml:space="preserve">.30.20240606.091</t>
    </r>
    <r>
      <rPr>
        <b val="true"/>
        <sz val="11"/>
        <color rgb="FF000000"/>
        <rFont val="Arial"/>
        <family val="2"/>
        <charset val="162"/>
      </rPr>
      <t xml:space="preserve"> - SULEYMAN AKAN</t>
    </r>
  </si>
  <si>
    <t xml:space="preserve">100 m2 ESTE</t>
  </si>
  <si>
    <t xml:space="preserve">06-06-2025-31-12-2025 Bedeli</t>
  </si>
  <si>
    <t xml:space="preserve">( 1000 TL )</t>
  </si>
  <si>
    <t xml:space="preserve">snyE</t>
  </si>
  <si>
    <t xml:space="preserve">2025-26</t>
  </si>
  <si>
    <t xml:space="preserve">2024-25</t>
  </si>
  <si>
    <t xml:space="preserve">Motorcu</t>
  </si>
  <si>
    <t xml:space="preserve">Süleyman AKAN</t>
  </si>
  <si>
    <t xml:space="preserve">24-25 kira bedeli </t>
  </si>
  <si>
    <t xml:space="preserve">Anlaşma yapıldı</t>
  </si>
  <si>
    <t xml:space="preserve">Kira Başlangıç Tarihi</t>
  </si>
  <si>
    <t xml:space="preserve">Kira Bitiş Tarihi</t>
  </si>
  <si>
    <t xml:space="preserve">Kira gün sayısı (1,5 ay ek süre verildi)</t>
  </si>
  <si>
    <t xml:space="preserve">30-04-2024 tarihinde hesap yapıldı</t>
  </si>
  <si>
    <t xml:space="preserve">BAKİYE</t>
  </si>
  <si>
    <t xml:space="preserve">12 asgari ücret 17002*12 = </t>
  </si>
  <si>
    <t xml:space="preserve">Başlangıç Tarihi</t>
  </si>
  <si>
    <t xml:space="preserve">Bitiş Tarihi</t>
  </si>
  <si>
    <t xml:space="preserve">Nakit Ödeme  </t>
  </si>
  <si>
    <t xml:space="preserve">BANKA UMUTA</t>
  </si>
  <si>
    <t xml:space="preserve">indirim</t>
  </si>
  <si>
    <t xml:space="preserve">Gün sayısı</t>
  </si>
  <si>
    <t xml:space="preserve">2023-24 günlük TL</t>
  </si>
  <si>
    <t xml:space="preserve">HESAPLAMA tarihi</t>
  </si>
  <si>
    <t xml:space="preserve">Hesap gün sayısı</t>
  </si>
  <si>
    <t xml:space="preserve">Hesaplanan bedel</t>
  </si>
  <si>
    <t xml:space="preserve">İADE bedeli</t>
  </si>
  <si>
    <t xml:space="preserve">İADE edilecek HESAP toplam</t>
  </si>
  <si>
    <t xml:space="preserve">+</t>
  </si>
  <si>
    <t xml:space="preserve">İADE Elektrik Teminat Bedeli</t>
  </si>
  <si>
    <t xml:space="preserve">Nisan 2024 fatura</t>
  </si>
  <si>
    <t xml:space="preserve">-</t>
  </si>
  <si>
    <t xml:space="preserve">İADE su bedeli</t>
  </si>
  <si>
    <t xml:space="preserve">İADE edilecek GENEL TOPLAM</t>
  </si>
  <si>
    <t xml:space="preserve">085-20230830-SNYE-02-SZL CIHAN CAM</t>
  </si>
  <si>
    <t xml:space="preserve">Kira Bedeli senet 5/5 7000 senet</t>
  </si>
  <si>
    <t xml:space="preserve">Cihan Çam</t>
  </si>
  <si>
    <t xml:space="preserve">22-23 kira bedeli ödendi</t>
  </si>
  <si>
    <t xml:space="preserve">Kira gün sayısı (1 ay ek süre verildi)</t>
  </si>
  <si>
    <t xml:space="preserve">40 gün önce geldi şu an 84000 TL dedim</t>
  </si>
  <si>
    <t xml:space="preserve">1-2 güne getir 80 000 olur dedim</t>
  </si>
  <si>
    <t xml:space="preserve">30-8 de değişebilir dedim - temmuz enflasyonu %9,46 oldu</t>
  </si>
  <si>
    <t xml:space="preserve">31-8 akşamı ne oldu diye ben aradım- kiranın 96000 olacağını söyledim</t>
  </si>
  <si>
    <t xml:space="preserve">30-8-2023-29-08-2024 Kira Bedeli</t>
  </si>
  <si>
    <t xml:space="preserve">Elektrik Teminat Bedeli</t>
  </si>
  <si>
    <t xml:space="preserve">2022-8 elektrik tmnt</t>
  </si>
  <si>
    <t xml:space="preserve">2022-9 elektrik tmnt</t>
  </si>
  <si>
    <t xml:space="preserve">2022-10 elektrik tmnt</t>
  </si>
  <si>
    <t xml:space="preserve">2022-11 elektrik tmnt</t>
  </si>
  <si>
    <t xml:space="preserve">toyota işçilik</t>
  </si>
  <si>
    <t xml:space="preserve">2022-12 elektrik tmnt</t>
  </si>
  <si>
    <t xml:space="preserve">2023-01 elektrik tmnt</t>
  </si>
  <si>
    <t xml:space="preserve">2023-02 elektrik tmnt</t>
  </si>
  <si>
    <t xml:space="preserve">2023-03 tmnt</t>
  </si>
  <si>
    <t xml:space="preserve">Nakit Ödeme  65000</t>
  </si>
  <si>
    <t xml:space="preserve">Taksit 1 6000</t>
  </si>
  <si>
    <t xml:space="preserve">Taksit 2 6000</t>
  </si>
  <si>
    <t xml:space="preserve">Taksit 3 6000</t>
  </si>
  <si>
    <t xml:space="preserve">Taksit 4 6000</t>
  </si>
  <si>
    <t xml:space="preserve">Taksit 5 7000</t>
  </si>
  <si>
    <t xml:space="preserve">ÖDENMEDİ</t>
  </si>
  <si>
    <t xml:space="preserve">ÖDENMEYEN Taksit 5</t>
  </si>
  <si>
    <t xml:space="preserve">nakit ödme</t>
  </si>
  <si>
    <t xml:space="preserve">HESAP SIFIRLANDI</t>
  </si>
  <si>
    <t xml:space="preserve">gün</t>
  </si>
  <si>
    <t xml:space="preserve">xautryg</t>
  </si>
  <si>
    <t xml:space="preserve">gram</t>
  </si>
  <si>
    <t xml:space="preserve">082-SnF-02-230101-merdalKipel</t>
  </si>
  <si>
    <t xml:space="preserve">Bedel</t>
  </si>
  <si>
    <t xml:space="preserve">Nisan avukattan 13000 den</t>
  </si>
  <si>
    <t xml:space="preserve">Mayıs  0,04</t>
  </si>
  <si>
    <t xml:space="preserve">Eylül 4,75</t>
  </si>
  <si>
    <t xml:space="preserve">Kasım - Aralık dahil hesap sıfırlandı</t>
  </si>
  <si>
    <t xml:space="preserve">Kira vergi farkı</t>
  </si>
  <si>
    <t xml:space="preserve">Nisan </t>
  </si>
  <si>
    <t xml:space="preserve">icra masrafı</t>
  </si>
  <si>
    <t xml:space="preserve">Mayıs </t>
  </si>
  <si>
    <t xml:space="preserve">Eylül </t>
  </si>
  <si>
    <t xml:space="preserve">( 3100 TL )</t>
  </si>
  <si>
    <t xml:space="preserve">snyF</t>
  </si>
  <si>
    <t xml:space="preserve">31-3-2022 Asgari ücret 4253 TL -  48000TL = 12 asgari ücret</t>
  </si>
  <si>
    <t xml:space="preserve">31-3-2022 - 31-12-2022 9 aylık tutar</t>
  </si>
  <si>
    <t xml:space="preserve">Nakit Ödeme</t>
  </si>
  <si>
    <t xml:space="preserve">10-05-2022   - 4000 nakit ödeme</t>
  </si>
  <si>
    <t xml:space="preserve">20-06-2022   - 4000 nakit ödeme</t>
  </si>
  <si>
    <t xml:space="preserve"> Ödeme yapılmadı 4000   Ocak 2023 ödenmedi</t>
  </si>
  <si>
    <t xml:space="preserve"> Ödeme yapılmadı 4000   Şubat 2023 ödenmedi</t>
  </si>
  <si>
    <t xml:space="preserve"> Ödeme yapılmadı 4000   Mart 2023 ödenmedi</t>
  </si>
  <si>
    <t xml:space="preserve">Son 3 ayın ödemesi yapılmadığı için (3x4000) ilk kira dönemi Nisan Aralık olarak kapatıldı</t>
  </si>
  <si>
    <t xml:space="preserve">Ocak 2023 ile yeni fiyat (6920) ve yeni dönem uygulandı</t>
  </si>
  <si>
    <t xml:space="preserve">Gelen giden yok</t>
  </si>
  <si>
    <t xml:space="preserve">1-1-23 - 31-12 -23 dönem hesabı (15887) sıfırlandı</t>
  </si>
  <si>
    <t xml:space="preserve">yeni yıl kira sözleşmesi 01-01-2024 - 31-12-2024 arası için yapılacak</t>
  </si>
  <si>
    <t xml:space="preserve">Yeni yıl 14000*12 ay = 168000 (ocak-aralık 2024)</t>
  </si>
  <si>
    <t xml:space="preserve">7aylık kira 31-12-2023 e kadar peşin alınacak 7*14=98000</t>
  </si>
  <si>
    <t xml:space="preserve">30 Ocaktan itibaren 14000*5 ay = 70000 ödenecek </t>
  </si>
  <si>
    <t xml:space="preserve">30 mayıstaki ödemeyle 01-01-2024 - 31-12-2024 kirası ödenmiş olacak</t>
  </si>
  <si>
    <t xml:space="preserve">30 Haziranda tüfe oranında zam yapılacak</t>
  </si>
  <si>
    <t xml:space="preserve">30 mayıstaki ödemeyle 01-01-2025 - 31-12-2025 kirasının ilk taksidi ödenmiş olacak</t>
  </si>
  <si>
    <t xml:space="preserve">aylık</t>
  </si>
  <si>
    <t xml:space="preserve">Ocak ayı tahmini kira bedeli</t>
  </si>
  <si>
    <t xml:space="preserve">10-11-23 e kadar yapılacak peşin ödeme  </t>
  </si>
  <si>
    <t xml:space="preserve">10-11-23 e kadar  7 aylık peşin ödeme yapılır ve ödemelere aylık devam edilirse aylık ödemeler</t>
  </si>
  <si>
    <t xml:space="preserve">10-11-23 e kadar  7 aylık peşin ödeme yapılır ve ödemelere aylık devam edilirse toplam kira </t>
  </si>
  <si>
    <t xml:space="preserve">Peşin Ödeme ile Kira Bedeli (10 aylık tüfe ile)</t>
  </si>
  <si>
    <t xml:space="preserve">Kasım ayı ortalama vade ile ödeme (peşinat 10-11-23 ilk aylık ödeme 30-11-2023)</t>
  </si>
  <si>
    <t xml:space="preserve">Aralık ayı ortalama vade ile ödeme (peşinat 10-11-23 ilk aylık ödeme 30-12-2023)</t>
  </si>
  <si>
    <t xml:space="preserve">Elektrik Teminat</t>
  </si>
  <si>
    <t xml:space="preserve">2022-4 elektrik tmnt</t>
  </si>
  <si>
    <t xml:space="preserve">2022-5 elektrik tmnt</t>
  </si>
  <si>
    <t xml:space="preserve">2022-6 elektrik tmnt</t>
  </si>
  <si>
    <t xml:space="preserve">2022-7 elektrik tmnt</t>
  </si>
  <si>
    <t xml:space="preserve">2022-12 elkrrik tmnt</t>
  </si>
  <si>
    <t xml:space="preserve">2023 e devreden teminat</t>
  </si>
  <si>
    <t xml:space="preserve">resmi işlemler</t>
  </si>
  <si>
    <t xml:space="preserve">2022-23 Kira Bedeli</t>
  </si>
  <si>
    <t xml:space="preserve">ödeme bankadan</t>
  </si>
  <si>
    <t xml:space="preserve">ödeme icradan avukattan geldi</t>
  </si>
  <si>
    <t xml:space="preserve">2022-23 Kira Bedelinden kalan</t>
  </si>
  <si>
    <t xml:space="preserve">TR  3100 0640 0000 1580 0126 8616</t>
  </si>
  <si>
    <t xml:space="preserve">Ali Umut BALCI İşbank hesabına yollanacak</t>
  </si>
  <si>
    <r>
      <rPr>
        <sz val="10"/>
        <color rgb="FF000000"/>
        <rFont val="Calibri"/>
        <family val="2"/>
        <charset val="162"/>
      </rPr>
      <t xml:space="preserve">Açıklamaya “</t>
    </r>
    <r>
      <rPr>
        <u val="single"/>
        <sz val="10"/>
        <color rgb="FF000000"/>
        <rFont val="Calibri"/>
        <family val="2"/>
        <charset val="162"/>
      </rPr>
      <t xml:space="preserve">2022-23 kira bedeli kalanı</t>
    </r>
    <r>
      <rPr>
        <sz val="10"/>
        <color rgb="FF000000"/>
        <rFont val="Calibri"/>
        <family val="2"/>
        <charset val="162"/>
      </rPr>
      <t xml:space="preserve">”</t>
    </r>
  </si>
  <si>
    <t xml:space="preserve">yazılacak</t>
  </si>
  <si>
    <t xml:space="preserve">19-4-23 banka havalesi ile ödenen</t>
  </si>
  <si>
    <t xml:space="preserve">2023-24 Kira Bedeli</t>
  </si>
  <si>
    <r>
      <rPr>
        <sz val="10"/>
        <color rgb="FF000000"/>
        <rFont val="Calibri"/>
        <family val="2"/>
        <charset val="162"/>
      </rPr>
      <t xml:space="preserve">Açıklamaya “</t>
    </r>
    <r>
      <rPr>
        <u val="single"/>
        <sz val="10"/>
        <color rgb="FF000000"/>
        <rFont val="Calibri"/>
        <family val="2"/>
        <charset val="162"/>
      </rPr>
      <t xml:space="preserve">2023-24 kira bedeli kalanı</t>
    </r>
    <r>
      <rPr>
        <sz val="10"/>
        <color rgb="FF000000"/>
        <rFont val="Calibri"/>
        <family val="2"/>
        <charset val="162"/>
      </rPr>
      <t xml:space="preserve">”</t>
    </r>
  </si>
  <si>
    <t xml:space="preserve">ziraat çek hmb tahsilatı</t>
  </si>
  <si>
    <t xml:space="preserve">resmi kalan miktar</t>
  </si>
  <si>
    <t xml:space="preserve">30-03-22 - 30-03-2023 </t>
  </si>
  <si>
    <t xml:space="preserve">2022 den kalann mermer hesabı</t>
  </si>
  <si>
    <t xml:space="preserve">2022 den 5 boy profil</t>
  </si>
  <si>
    <t xml:space="preserve">2023 Mart ayı elektrik bedeli</t>
  </si>
  <si>
    <t xml:space="preserve">avukattan gelen 13000 hesabından ödendi</t>
  </si>
  <si>
    <t xml:space="preserve">31-3 31-12-2022 9 aylık kira bedeli </t>
  </si>
  <si>
    <t xml:space="preserve">peşin 48000 TL konuşuldu 36000 ödeme yapıldı</t>
  </si>
  <si>
    <t xml:space="preserve">kira dönemi 9 ay olarak uygulandı</t>
  </si>
  <si>
    <t xml:space="preserve">ödemeler elden nakit toplam 36000 TL</t>
  </si>
  <si>
    <t xml:space="preserve">aylık kira</t>
  </si>
  <si>
    <t xml:space="preserve">tüfe</t>
  </si>
  <si>
    <t xml:space="preserve">bedeli</t>
  </si>
  <si>
    <t xml:space="preserve">ödenecek</t>
  </si>
  <si>
    <t xml:space="preserve">bakiye</t>
  </si>
  <si>
    <t xml:space="preserve">Ocak yıllık 83160*57,5%=131-&gt;168</t>
  </si>
  <si>
    <t xml:space="preserve">Sözleşme DV</t>
  </si>
  <si>
    <t xml:space="preserve">Usulsüzlük cezası</t>
  </si>
  <si>
    <t xml:space="preserve">boya masrafı</t>
  </si>
  <si>
    <t xml:space="preserve">ÖDEME</t>
  </si>
  <si>
    <t xml:space="preserve">Ocak yıllık 131*57,5%=206-&gt;265</t>
  </si>
  <si>
    <t xml:space="preserve">İSTİNAFTAN TAHLİYE KARARI GELDİ</t>
  </si>
  <si>
    <t xml:space="preserve">görüşme yapıldı. hesap düzeltildi aşağıdaki şekle geldi 3 seçenekten tercih yapacaklar</t>
  </si>
  <si>
    <t xml:space="preserve">1- ay sonuna kadar kalan kira borcu ödenecek</t>
  </si>
  <si>
    <t xml:space="preserve">2- ödeme yapılmayacaksa dükkan boşaltılacak</t>
  </si>
  <si>
    <t xml:space="preserve">3- ödeme ve tahliye olmazsa hukuk yolu açık</t>
  </si>
  <si>
    <t xml:space="preserve">b.fiyat</t>
  </si>
  <si>
    <t xml:space="preserve"> 10-05-2022</t>
  </si>
  <si>
    <t xml:space="preserve"> 20-06-2022  </t>
  </si>
  <si>
    <t xml:space="preserve">2022 YILINDA ÖDENMEYEN KİRALAR İÇİN</t>
  </si>
  <si>
    <t xml:space="preserve">TÜFE FARKI HESAPLANMADI - EKLENMEDİ</t>
  </si>
  <si>
    <t xml:space="preserve">ÖDEME YAPILMADIĞI İÇİN SON 3 AY DÜŞÜLDÜ</t>
  </si>
  <si>
    <t xml:space="preserve">HESAP SIFIRLANDI VE 2023 YILI TÜFE FARKLI FİYAT ANLAŞILDI</t>
  </si>
  <si>
    <t xml:space="preserve">2022 SONRASI TÜFE FARKI AYLIK OLARAK HESABA EKLENDİ</t>
  </si>
  <si>
    <t xml:space="preserve">ÖDEME YAPILMADIĞI İÇİN İCRAYA GİDİLDİ</t>
  </si>
  <si>
    <t xml:space="preserve">icradan</t>
  </si>
  <si>
    <t xml:space="preserve">İCRADAN GELENDEN İADE</t>
  </si>
  <si>
    <t xml:space="preserve">15/04/2024</t>
  </si>
  <si>
    <t xml:space="preserve">FA</t>
  </si>
  <si>
    <t xml:space="preserve">MERDAL KİPEL*0010*31,03,2024 DEN 31,03,2025 E KADAR İŞ YERİ ÖDEMESİDİR.</t>
  </si>
  <si>
    <t xml:space="preserve"> (PİYASANIN BELİRSİZLİĞİNDEN DOLAYI YILLIK TEFE TÜFEDEN FAZL*2688774034*FAST</t>
  </si>
  <si>
    <t xml:space="preserve">İCRADAN</t>
  </si>
  <si>
    <t xml:space="preserve">SnyG  </t>
  </si>
  <si>
    <t xml:space="preserve">100 m2 Sanayi Pano</t>
  </si>
  <si>
    <t xml:space="preserve">30-09-2024 – 29-09-2025</t>
  </si>
  <si>
    <t xml:space="preserve">12*17002</t>
  </si>
  <si>
    <t xml:space="preserve">ödeme yapılmadI</t>
  </si>
  <si>
    <t xml:space="preserve">15-01-2025 TE BOŞALTTI</t>
  </si>
  <si>
    <t xml:space="preserve">AY</t>
  </si>
  <si>
    <t xml:space="preserve">OTURDUĞU SÜRE  2024-2025</t>
  </si>
  <si>
    <t xml:space="preserve">ZAMANINDA BİLDİRİM YAPMADIĞI İÇİN</t>
  </si>
  <si>
    <t xml:space="preserve">2023 kirası</t>
  </si>
  <si>
    <t xml:space="preserve">eylül 2024 tüfe</t>
  </si>
  <si>
    <t xml:space="preserve">30-09-2024 – 29-09-2025 kira bedeli</t>
  </si>
  <si>
    <t xml:space="preserve">12 ay</t>
  </si>
  <si>
    <t xml:space="preserve">oturulan ay</t>
  </si>
  <si>
    <t xml:space="preserve">snyG</t>
  </si>
  <si>
    <t xml:space="preserve">Metin Çelik  - 2. yıl</t>
  </si>
  <si>
    <t xml:space="preserve">30-09-2023 – 29-09-2024 Ödenen</t>
  </si>
  <si>
    <t xml:space="preserve">tahliye etmek istediğini belirtti</t>
  </si>
  <si>
    <t xml:space="preserve">tahliye tarihinden itibaren 3 ay sonrasına kadar işyeri kiralanmazsa</t>
  </si>
  <si>
    <t xml:space="preserve">1) 3 aylık boş kaldığı için alınacağını;</t>
  </si>
  <si>
    <t xml:space="preserve">2) Tahliye sonrasında 3 ay içerisinde verilirse,</t>
  </si>
  <si>
    <t xml:space="preserve">     yeni başlangıç tarihine göre iade yapılacağını;</t>
  </si>
  <si>
    <t xml:space="preserve">3) Yeni kiralama yapılıncaya kadar geri ödeme yapılamayacağını, en geç kira bitim </t>
  </si>
  <si>
    <t xml:space="preserve">     tarihi olan 29-9-2024 tarihinde iade yapılabileceğini ;</t>
  </si>
  <si>
    <t xml:space="preserve">( 1200 TL )</t>
  </si>
  <si>
    <t xml:space="preserve">söyledim kabul etti</t>
  </si>
  <si>
    <t xml:space="preserve">30-09-2022 – 29-09-2023</t>
  </si>
  <si>
    <t xml:space="preserve">bedeli 48000 den kalan 4000</t>
  </si>
  <si>
    <t xml:space="preserve"> 2022 kiradan kalan 1000 5/8</t>
  </si>
  <si>
    <t xml:space="preserve"> 2022 kiradan kalan 1000 6/8</t>
  </si>
  <si>
    <t xml:space="preserve"> 2022 kiradan kalan 1000 7/8</t>
  </si>
  <si>
    <t xml:space="preserve"> 2022 kiradan kalan 1000 8/8</t>
  </si>
  <si>
    <t xml:space="preserve">1200 TL Elektrik Teminat Bedelinden kalan</t>
  </si>
  <si>
    <t xml:space="preserve">2023-01 elektrik tmnt 200 5/6</t>
  </si>
  <si>
    <t xml:space="preserve">2023-02 elektrik tmnt 200 6/6</t>
  </si>
  <si>
    <t xml:space="preserve">bankadan havale alumba hesabına</t>
  </si>
  <si>
    <t xml:space="preserve">2023 şubat elektrik</t>
  </si>
  <si>
    <t xml:space="preserve">elden nakit iade</t>
  </si>
  <si>
    <t xml:space="preserve">SnyH  Yazıhane</t>
  </si>
  <si>
    <t xml:space="preserve">300 m2</t>
  </si>
  <si>
    <t xml:space="preserve">Elektrik 1</t>
  </si>
  <si>
    <t xml:space="preserve">Elektrik 2-</t>
  </si>
  <si>
    <t xml:space="preserve">Elektrik 3-</t>
  </si>
  <si>
    <t xml:space="preserve">Elektrik 4-</t>
  </si>
  <si>
    <t xml:space="preserve">Elektrik 5-</t>
  </si>
  <si>
    <t xml:space="preserve">Bina Vergisi 1</t>
  </si>
  <si>
    <t xml:space="preserve">Kültür Vergisi 1</t>
  </si>
  <si>
    <t xml:space="preserve">Elektrik 6–</t>
  </si>
  <si>
    <t xml:space="preserve">Elektrik 7–</t>
  </si>
  <si>
    <t xml:space="preserve">Elektrik 8-</t>
  </si>
  <si>
    <t xml:space="preserve">Elektrik 9-</t>
  </si>
  <si>
    <t xml:space="preserve">Elektrik 10-</t>
  </si>
  <si>
    <t xml:space="preserve">Bina Vergisi 2</t>
  </si>
  <si>
    <t xml:space="preserve">Kültür Vergisi 2</t>
  </si>
  <si>
    <t xml:space="preserve">Elektrik 11-</t>
  </si>
  <si>
    <t xml:space="preserve">Elektrik 12-</t>
  </si>
  <si>
    <t xml:space="preserve">2025 YILI NAZAN BALCI</t>
  </si>
  <si>
    <t xml:space="preserve">Yapılacak</t>
  </si>
  <si>
    <t xml:space="preserve">Kalacak</t>
  </si>
  <si>
    <t xml:space="preserve">Yapılan</t>
  </si>
  <si>
    <t xml:space="preserve">2024 yıl sonu nazan devreden kira geliri</t>
  </si>
  <si>
    <t xml:space="preserve">İŞ 801</t>
  </si>
  <si>
    <t xml:space="preserve"> + </t>
  </si>
  <si>
    <t xml:space="preserve">2025 yılı Toplam</t>
  </si>
  <si>
    <t xml:space="preserve">havale</t>
  </si>
  <si>
    <t xml:space="preserve">Hisse Oranı</t>
  </si>
  <si>
    <t xml:space="preserve">snyA-H</t>
  </si>
  <si>
    <t xml:space="preserve">Oran %</t>
  </si>
  <si>
    <t xml:space="preserve">Oran TL Tutar</t>
  </si>
  <si>
    <t xml:space="preserve">Ödendi</t>
  </si>
  <si>
    <t xml:space="preserve">Oran TL</t>
  </si>
  <si>
    <t xml:space="preserve">Genel Toplam</t>
  </si>
  <si>
    <t xml:space="preserve">Sütun1</t>
  </si>
  <si>
    <t xml:space="preserve">Sütun2</t>
  </si>
  <si>
    <t xml:space="preserve">Toplam Gelir</t>
  </si>
  <si>
    <t xml:space="preserve">snyH- Yazıhane</t>
  </si>
  <si>
    <t xml:space="preserve">sny CD Ali demirel</t>
  </si>
  <si>
    <t xml:space="preserve">snyB bankadan</t>
  </si>
  <si>
    <t xml:space="preserve">ay</t>
  </si>
  <si>
    <t xml:space="preserve">Toplam</t>
  </si>
  <si>
    <t xml:space="preserve">Hacı</t>
  </si>
  <si>
    <t xml:space="preserve">Nazan</t>
  </si>
  <si>
    <t xml:space="preserve">%</t>
  </si>
  <si>
    <t xml:space="preserve">Toplam Gelecek</t>
  </si>
  <si>
    <t xml:space="preserve">Gelen</t>
  </si>
  <si>
    <t xml:space="preserve">Kalan Gelecek</t>
  </si>
  <si>
    <t xml:space="preserve">toplam</t>
  </si>
  <si>
    <t xml:space="preserve">zekat %</t>
  </si>
  <si>
    <t xml:space="preserve">zekat</t>
  </si>
  <si>
    <t xml:space="preserve">eddddddddddddddddddddddddddddddd</t>
  </si>
  <si>
    <t xml:space="preserve">HACI</t>
  </si>
  <si>
    <t xml:space="preserve">2024 YILI NAZAN BALCI</t>
  </si>
  <si>
    <t xml:space="preserve">2023 yıl sonu nazan kira geliri</t>
  </si>
  <si>
    <t xml:space="preserve">2024 yılı Toplam</t>
  </si>
  <si>
    <t xml:space="preserve">nazan havale</t>
  </si>
  <si>
    <t xml:space="preserve">ödenmedi</t>
  </si>
  <si>
    <t xml:space="preserve">2025 e DEVREDEN</t>
  </si>
  <si>
    <t xml:space="preserve">TOPLAM ÖDEME </t>
  </si>
  <si>
    <t xml:space="preserve">snyCD-işbank</t>
  </si>
  <si>
    <t xml:space="preserve">2025 te</t>
  </si>
  <si>
    <t xml:space="preserve">snyF-icradan</t>
  </si>
  <si>
    <t xml:space="preserve">snyE- işbanktan</t>
  </si>
  <si>
    <t xml:space="preserve">snyE- Nakit Slmn</t>
  </si>
  <si>
    <t xml:space="preserve">snyE İADE Chn</t>
  </si>
  <si>
    <t xml:space="preserve">snyE Nakit Slmn</t>
  </si>
  <si>
    <t xml:space="preserve">snyF-işbanktan</t>
  </si>
  <si>
    <t xml:space="preserve">SnyE- Nakit-&gt;nazana</t>
  </si>
  <si>
    <t xml:space="preserve">snyB- bankadan </t>
  </si>
  <si>
    <t xml:space="preserve">snyB- nakit</t>
  </si>
</sst>
</file>

<file path=xl/styles.xml><?xml version="1.0" encoding="utf-8"?>
<styleSheet xmlns="http://schemas.openxmlformats.org/spreadsheetml/2006/main">
  <numFmts count="32">
    <numFmt numFmtId="164" formatCode="General"/>
    <numFmt numFmtId="165" formatCode="#,##0.00"/>
    <numFmt numFmtId="166" formatCode="[$₺-41F]#,##0.00;[RED]\-[$₺-41F]#,##0.00"/>
    <numFmt numFmtId="167" formatCode="[$₺-41F]#,##0.00;[RED][$₺-41F]#,##0.00"/>
    <numFmt numFmtId="168" formatCode="dd\.mm\.yy;@"/>
    <numFmt numFmtId="169" formatCode="[$-F800]dddd&quot;, &quot;mmmm\ dd&quot;, &quot;yyyy"/>
    <numFmt numFmtId="170" formatCode="%0.00"/>
    <numFmt numFmtId="171" formatCode="###,###,###,###,##0.00"/>
    <numFmt numFmtId="172" formatCode="mmm/yy"/>
    <numFmt numFmtId="173" formatCode="dd\.mm\.yyyy"/>
    <numFmt numFmtId="174" formatCode="mmm\.yy"/>
    <numFmt numFmtId="175" formatCode="0.00\ ;[RED]\-0.00\ "/>
    <numFmt numFmtId="176" formatCode="#,##0.00\ ;[RED]\-#,##0.00\ "/>
    <numFmt numFmtId="177" formatCode="[$-409]#,##0.00"/>
    <numFmt numFmtId="178" formatCode="[$-41F]General"/>
    <numFmt numFmtId="179" formatCode="[$-41F]#,##0.00"/>
    <numFmt numFmtId="180" formatCode="dd/mm/yyyy"/>
    <numFmt numFmtId="181" formatCode="0.00"/>
    <numFmt numFmtId="182" formatCode="dd/mmm"/>
    <numFmt numFmtId="183" formatCode="dd/mm/yy;@"/>
    <numFmt numFmtId="184" formatCode="_-* #,##0.00_-;\-* #,##0.00_-;_-* \-??_-;_-@_-"/>
    <numFmt numFmtId="185" formatCode="d\.mmm"/>
    <numFmt numFmtId="186" formatCode="dd\.mm\.yyyy"/>
    <numFmt numFmtId="187" formatCode="[$₺-41F]#,##0.00;[RED]\-[$₺-41F]#,##0.00"/>
    <numFmt numFmtId="188" formatCode="#,##0.00\ _T_L;[RED]\-#,##0.00\ _T_L"/>
    <numFmt numFmtId="189" formatCode="d\.mm\.yyyy"/>
    <numFmt numFmtId="190" formatCode="%0.0000"/>
    <numFmt numFmtId="191" formatCode="0.0000%"/>
    <numFmt numFmtId="192" formatCode="#,##0.00;[RED]#,##0.00"/>
    <numFmt numFmtId="193" formatCode="%0"/>
    <numFmt numFmtId="194" formatCode="_-* #,##0.00_-;\-* #,##0.00_-;_-* \-????_-;_-@_-"/>
    <numFmt numFmtId="195" formatCode="#,##0.000000000;[RED]\-#,##0.000000000"/>
  </numFmts>
  <fonts count="61">
    <font>
      <sz val="10"/>
      <color rgb="FF000000"/>
      <name val="Liberation Sans1"/>
      <family val="0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Liberation Sans1"/>
      <family val="0"/>
      <charset val="162"/>
    </font>
    <font>
      <b val="true"/>
      <sz val="10"/>
      <color rgb="FF000000"/>
      <name val="Liberation Sans1"/>
      <family val="0"/>
      <charset val="162"/>
    </font>
    <font>
      <sz val="10"/>
      <color rgb="FFCC0000"/>
      <name val="Liberation Sans1"/>
      <family val="0"/>
      <charset val="162"/>
    </font>
    <font>
      <b val="true"/>
      <sz val="10"/>
      <color rgb="FFFFFFFF"/>
      <name val="Liberation Sans1"/>
      <family val="0"/>
      <charset val="162"/>
    </font>
    <font>
      <i val="true"/>
      <sz val="10"/>
      <color rgb="FF808080"/>
      <name val="Liberation Sans1"/>
      <family val="0"/>
      <charset val="162"/>
    </font>
    <font>
      <sz val="10"/>
      <color rgb="FF006600"/>
      <name val="Liberation Sans1"/>
      <family val="0"/>
      <charset val="162"/>
    </font>
    <font>
      <sz val="18"/>
      <color rgb="FF000000"/>
      <name val="Liberation Sans1"/>
      <family val="0"/>
      <charset val="162"/>
    </font>
    <font>
      <b val="true"/>
      <sz val="24"/>
      <color rgb="FF000000"/>
      <name val="Liberation Sans1"/>
      <family val="0"/>
      <charset val="162"/>
    </font>
    <font>
      <sz val="12"/>
      <color rgb="FF000000"/>
      <name val="Liberation Sans1"/>
      <family val="0"/>
      <charset val="162"/>
    </font>
    <font>
      <u val="single"/>
      <sz val="10"/>
      <color rgb="FF0000EE"/>
      <name val="Liberation Sans1"/>
      <family val="0"/>
      <charset val="162"/>
    </font>
    <font>
      <sz val="10"/>
      <color rgb="FF996600"/>
      <name val="Liberation Sans1"/>
      <family val="0"/>
      <charset val="162"/>
    </font>
    <font>
      <sz val="10"/>
      <name val="Arial"/>
      <family val="2"/>
      <charset val="162"/>
    </font>
    <font>
      <sz val="11"/>
      <color theme="1"/>
      <name val="Calibri"/>
      <family val="2"/>
      <charset val="162"/>
    </font>
    <font>
      <sz val="10"/>
      <color rgb="FF333333"/>
      <name val="Liberation Sans1"/>
      <family val="0"/>
      <charset val="162"/>
    </font>
    <font>
      <b val="true"/>
      <i val="true"/>
      <u val="single"/>
      <sz val="10"/>
      <color rgb="FF000000"/>
      <name val="Liberation Sans1"/>
      <family val="0"/>
      <charset val="162"/>
    </font>
    <font>
      <b val="true"/>
      <sz val="12"/>
      <color rgb="FF000000"/>
      <name val="Liberation Sans1"/>
      <family val="0"/>
      <charset val="162"/>
    </font>
    <font>
      <b val="true"/>
      <sz val="10"/>
      <color rgb="FF000000"/>
      <name val="Liberation Sans2"/>
      <family val="0"/>
      <charset val="162"/>
    </font>
    <font>
      <b val="true"/>
      <i val="true"/>
      <u val="single"/>
      <sz val="10"/>
      <color rgb="FF000000"/>
      <name val="Liberation Sans2"/>
      <family val="0"/>
      <charset val="162"/>
    </font>
    <font>
      <sz val="10"/>
      <color rgb="FF000000"/>
      <name val="Liberation Sans2"/>
      <family val="0"/>
      <charset val="162"/>
    </font>
    <font>
      <b val="true"/>
      <u val="single"/>
      <sz val="11"/>
      <color rgb="FF000000"/>
      <name val="Liberation Sans1"/>
      <family val="0"/>
      <charset val="162"/>
    </font>
    <font>
      <b val="true"/>
      <u val="single"/>
      <sz val="10"/>
      <color rgb="FF000000"/>
      <name val="Liberation Sans1"/>
      <family val="0"/>
      <charset val="162"/>
    </font>
    <font>
      <b val="true"/>
      <u val="single"/>
      <sz val="10"/>
      <color rgb="FF000000"/>
      <name val="Liberation Sans2"/>
      <family val="0"/>
      <charset val="162"/>
    </font>
    <font>
      <u val="single"/>
      <sz val="10"/>
      <color rgb="FF000000"/>
      <name val="Liberation Sans1"/>
      <family val="0"/>
      <charset val="162"/>
    </font>
    <font>
      <sz val="10"/>
      <color rgb="FF000000"/>
      <name val="Abyssinica SIL"/>
      <family val="0"/>
      <charset val="162"/>
    </font>
    <font>
      <b val="true"/>
      <sz val="11"/>
      <color rgb="FF000000"/>
      <name val="Abyssinica SIL"/>
      <family val="0"/>
      <charset val="162"/>
    </font>
    <font>
      <b val="true"/>
      <sz val="14"/>
      <color rgb="FF000000"/>
      <name val="Abyssinica SIL"/>
      <family val="0"/>
      <charset val="162"/>
    </font>
    <font>
      <b val="true"/>
      <u val="single"/>
      <sz val="10"/>
      <color rgb="FF000000"/>
      <name val="Abyssinica SIL"/>
      <family val="0"/>
      <charset val="162"/>
    </font>
    <font>
      <b val="true"/>
      <i val="true"/>
      <u val="single"/>
      <sz val="10"/>
      <color rgb="FF000000"/>
      <name val="Abyssinica SIL"/>
      <family val="0"/>
      <charset val="162"/>
    </font>
    <font>
      <sz val="11"/>
      <color rgb="FF000000"/>
      <name val="Calibri1"/>
      <family val="0"/>
      <charset val="162"/>
    </font>
    <font>
      <b val="true"/>
      <sz val="12"/>
      <color rgb="FFFF0000"/>
      <name val="Abyssinica SIL"/>
      <family val="0"/>
      <charset val="162"/>
    </font>
    <font>
      <b val="true"/>
      <sz val="10"/>
      <color rgb="FF000000"/>
      <name val="Abyssinica SIL"/>
      <family val="0"/>
      <charset val="162"/>
    </font>
    <font>
      <sz val="9"/>
      <name val="Arial"/>
      <family val="2"/>
      <charset val="162"/>
    </font>
    <font>
      <b val="true"/>
      <sz val="11"/>
      <color rgb="FF000000"/>
      <name val="Arial"/>
      <family val="2"/>
      <charset val="162"/>
    </font>
    <font>
      <b val="true"/>
      <sz val="12"/>
      <color rgb="FF000000"/>
      <name val="Ubuntu Condensed"/>
      <family val="0"/>
      <charset val="1"/>
    </font>
    <font>
      <sz val="10"/>
      <color rgb="FF000000"/>
      <name val="Calibri"/>
      <family val="2"/>
      <charset val="162"/>
    </font>
    <font>
      <b val="true"/>
      <sz val="10"/>
      <color rgb="FF000000"/>
      <name val="Calibri"/>
      <family val="2"/>
      <charset val="162"/>
    </font>
    <font>
      <b val="true"/>
      <sz val="11"/>
      <color rgb="FF000000"/>
      <name val="Calibri"/>
      <family val="2"/>
      <charset val="162"/>
    </font>
    <font>
      <b val="true"/>
      <i val="true"/>
      <sz val="10"/>
      <color rgb="FFFF0000"/>
      <name val="Calibri"/>
      <family val="2"/>
      <charset val="162"/>
    </font>
    <font>
      <b val="true"/>
      <i val="true"/>
      <sz val="11"/>
      <color rgb="FFFF0000"/>
      <name val="Calibri"/>
      <family val="2"/>
      <charset val="162"/>
    </font>
    <font>
      <b val="true"/>
      <i val="true"/>
      <u val="single"/>
      <sz val="11"/>
      <color rgb="FF000000"/>
      <name val="Calibri"/>
      <family val="2"/>
      <charset val="162"/>
    </font>
    <font>
      <sz val="10"/>
      <color rgb="FFFF0000"/>
      <name val="Calibri"/>
      <family val="2"/>
      <charset val="162"/>
    </font>
    <font>
      <b val="true"/>
      <u val="single"/>
      <sz val="10"/>
      <color rgb="FFFF0000"/>
      <name val="Calibri"/>
      <family val="2"/>
      <charset val="162"/>
    </font>
    <font>
      <sz val="10"/>
      <color rgb="FFFF0000"/>
      <name val="Liberation Sans1"/>
      <family val="0"/>
      <charset val="162"/>
    </font>
    <font>
      <sz val="10"/>
      <color rgb="FFFF0000"/>
      <name val="Liberation Sans2"/>
      <family val="0"/>
      <charset val="162"/>
    </font>
    <font>
      <i val="true"/>
      <sz val="10"/>
      <color rgb="FF000000"/>
      <name val="Liberation Sans1"/>
      <family val="0"/>
      <charset val="162"/>
    </font>
    <font>
      <b val="true"/>
      <sz val="16"/>
      <color rgb="FF000000"/>
      <name val="Liberation Sans1"/>
      <family val="0"/>
      <charset val="162"/>
    </font>
    <font>
      <sz val="10"/>
      <color rgb="FF0D0D0D"/>
      <name val="Liberation Sans1"/>
      <family val="0"/>
      <charset val="162"/>
    </font>
    <font>
      <u val="single"/>
      <sz val="10"/>
      <color rgb="FF000000"/>
      <name val="Calibri"/>
      <family val="2"/>
      <charset val="162"/>
    </font>
    <font>
      <sz val="10"/>
      <color rgb="FFC9211E"/>
      <name val="Liberation Sans1"/>
      <family val="0"/>
      <charset val="162"/>
    </font>
    <font>
      <b val="true"/>
      <sz val="14"/>
      <color rgb="FF000000"/>
      <name val="Liberation Sans1"/>
      <family val="0"/>
      <charset val="162"/>
    </font>
    <font>
      <b val="true"/>
      <i val="true"/>
      <u val="single"/>
      <sz val="11"/>
      <color rgb="FFFF0000"/>
      <name val="Liberation Sans1"/>
      <family val="0"/>
      <charset val="162"/>
    </font>
    <font>
      <b val="true"/>
      <i val="true"/>
      <u val="single"/>
      <sz val="11"/>
      <color rgb="FF000000"/>
      <name val="Liberation Sans1"/>
      <family val="0"/>
      <charset val="162"/>
    </font>
    <font>
      <b val="true"/>
      <u val="single"/>
      <sz val="12"/>
      <color rgb="FF000000"/>
      <name val="Liberation Sans1"/>
      <family val="0"/>
      <charset val="162"/>
    </font>
    <font>
      <sz val="6"/>
      <color rgb="FF000000"/>
      <name val="Times New Roman"/>
      <family val="1"/>
      <charset val="162"/>
    </font>
    <font>
      <sz val="10"/>
      <color rgb="FF000000"/>
      <name val="Times New Roman"/>
      <family val="1"/>
      <charset val="162"/>
    </font>
    <font>
      <sz val="8"/>
      <color rgb="FF000000"/>
      <name val="Liberation Sans1"/>
      <family val="0"/>
      <charset val="162"/>
    </font>
    <font>
      <b val="true"/>
      <sz val="8"/>
      <color rgb="FF000000"/>
      <name val="Liberation Sans1"/>
      <family val="0"/>
      <charset val="162"/>
    </font>
  </fonts>
  <fills count="26">
    <fill>
      <patternFill patternType="none"/>
    </fill>
    <fill>
      <patternFill patternType="gray125"/>
    </fill>
    <fill>
      <patternFill patternType="solid">
        <fgColor rgb="FF000000"/>
        <bgColor rgb="FF0D0D0D"/>
      </patternFill>
    </fill>
    <fill>
      <patternFill patternType="solid">
        <fgColor rgb="FF808080"/>
        <bgColor rgb="FF666699"/>
      </patternFill>
    </fill>
    <fill>
      <patternFill patternType="solid">
        <fgColor rgb="FFDDDDDD"/>
        <bgColor rgb="FFD6DCE4"/>
      </patternFill>
    </fill>
    <fill>
      <patternFill patternType="solid">
        <fgColor rgb="FFFFCCCC"/>
        <bgColor rgb="FFF7D1D5"/>
      </patternFill>
    </fill>
    <fill>
      <patternFill patternType="solid">
        <fgColor rgb="FFCC0000"/>
        <bgColor rgb="FFC9211E"/>
      </patternFill>
    </fill>
    <fill>
      <patternFill patternType="solid">
        <fgColor rgb="FFCCFFCC"/>
        <bgColor rgb="FFE2F0D9"/>
      </patternFill>
    </fill>
    <fill>
      <patternFill patternType="solid">
        <fgColor rgb="FFFFFFCC"/>
        <bgColor rgb="FFF6F9D4"/>
      </patternFill>
    </fill>
    <fill>
      <patternFill patternType="solid">
        <fgColor rgb="FFFCE4D6"/>
        <bgColor rgb="FFFBE5D6"/>
      </patternFill>
    </fill>
    <fill>
      <patternFill patternType="solid">
        <fgColor rgb="FFE2EFDA"/>
        <bgColor rgb="FFE2F0D9"/>
      </patternFill>
    </fill>
    <fill>
      <patternFill patternType="solid">
        <fgColor rgb="FFFFF2CC"/>
        <bgColor rgb="FFF6F9D4"/>
      </patternFill>
    </fill>
    <fill>
      <patternFill patternType="solid">
        <fgColor rgb="FFD6DCE4"/>
        <bgColor rgb="FFD6DCE5"/>
      </patternFill>
    </fill>
    <fill>
      <patternFill patternType="solid">
        <fgColor rgb="FFF2F2F2"/>
        <bgColor rgb="FFEDEDED"/>
      </patternFill>
    </fill>
    <fill>
      <patternFill patternType="solid">
        <fgColor rgb="FFFFFF00"/>
        <bgColor rgb="FFFFC000"/>
      </patternFill>
    </fill>
    <fill>
      <patternFill patternType="solid">
        <fgColor rgb="FFC6E0B4"/>
        <bgColor rgb="FFD6DCE4"/>
      </patternFill>
    </fill>
    <fill>
      <patternFill patternType="solid">
        <fgColor theme="9" tint="0.3999"/>
        <bgColor rgb="FFAFD095"/>
      </patternFill>
    </fill>
    <fill>
      <patternFill patternType="solid">
        <fgColor theme="6" tint="0.7999"/>
        <bgColor rgb="FFF2F2F2"/>
      </patternFill>
    </fill>
    <fill>
      <patternFill patternType="solid">
        <fgColor theme="9" tint="0.7999"/>
        <bgColor rgb="FFE2EFDA"/>
      </patternFill>
    </fill>
    <fill>
      <patternFill patternType="solid">
        <fgColor theme="7"/>
        <bgColor rgb="FFFFFF00"/>
      </patternFill>
    </fill>
    <fill>
      <patternFill patternType="solid">
        <fgColor rgb="FF9BC2E6"/>
        <bgColor rgb="FFAFD095"/>
      </patternFill>
    </fill>
    <fill>
      <patternFill patternType="solid">
        <fgColor rgb="FFF7D1D5"/>
        <bgColor rgb="FFFFCCCC"/>
      </patternFill>
    </fill>
    <fill>
      <patternFill patternType="solid">
        <fgColor rgb="FFAFD095"/>
        <bgColor rgb="FFA9D18E"/>
      </patternFill>
    </fill>
    <fill>
      <patternFill patternType="solid">
        <fgColor theme="5" tint="0.7999"/>
        <bgColor rgb="FFFCE4D6"/>
      </patternFill>
    </fill>
    <fill>
      <patternFill patternType="solid">
        <fgColor rgb="FFF6F9D4"/>
        <bgColor rgb="FFFFFFCC"/>
      </patternFill>
    </fill>
    <fill>
      <patternFill patternType="solid">
        <fgColor theme="3" tint="0.7999"/>
        <bgColor rgb="FFD6DCE4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/>
      <bottom style="double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thin"/>
      <bottom style="medium"/>
      <diagonal/>
    </border>
  </borders>
  <cellStyleXfs count="4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84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93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8" borderId="1" applyFont="true" applyBorder="true" applyAlignment="true" applyProtection="false">
      <alignment horizontal="general" vertical="bottom" textRotation="0" wrapText="false" indent="0" shrinkToFit="false"/>
    </xf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78" fontId="32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3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1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2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2" fillId="1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1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2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1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5" fillId="1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1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6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7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2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2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2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6" fontId="3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7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3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3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3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6" fontId="3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7" fontId="3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9" fontId="27" fillId="0" borderId="0" xfId="4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9" fontId="33" fillId="0" borderId="0" xfId="4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3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27" fillId="0" borderId="5" xfId="4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27" fillId="0" borderId="9" xfId="4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35" fillId="0" borderId="2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9" fontId="27" fillId="0" borderId="4" xfId="4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1" fillId="1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3" fillId="1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1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1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6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83" fontId="2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2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1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1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46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6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7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7" fillId="1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2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3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83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4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1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7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4" fontId="5" fillId="14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5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13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1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84" fontId="0" fillId="14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8" fontId="5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18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8" fontId="54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0" fillId="1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5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1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7" fontId="5" fillId="2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4" fontId="0" fillId="2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8" fontId="0" fillId="2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5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5" fillId="2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0" fillId="2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58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9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0" fillId="1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46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0" fillId="2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46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58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91" fontId="5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9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60" fillId="2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90" fontId="19" fillId="2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8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9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5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7" fontId="5" fillId="1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0" fillId="2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0" fillId="2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0" fillId="2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5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46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9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Bad 8" xfId="24"/>
    <cellStyle name="Error 9" xfId="25"/>
    <cellStyle name="Footnote 10" xfId="26"/>
    <cellStyle name="Good 11" xfId="27"/>
    <cellStyle name="Heading 1 13" xfId="28"/>
    <cellStyle name="Heading 12" xfId="29"/>
    <cellStyle name="Heading 2 14" xfId="30"/>
    <cellStyle name="Hyperlink 15" xfId="31"/>
    <cellStyle name="Neutral 16" xfId="32"/>
    <cellStyle name="Normal 2" xfId="33"/>
    <cellStyle name="Normal 3" xfId="34"/>
    <cellStyle name="Note 17" xfId="35"/>
    <cellStyle name="Result 18" xfId="36"/>
    <cellStyle name="Status 19" xfId="37"/>
    <cellStyle name="Text 20" xfId="38"/>
    <cellStyle name="Warning 21" xfId="39"/>
    <cellStyle name="Excel Built-in Normal" xfId="40"/>
  </cellStyles>
  <dxfs count="12">
    <dxf>
      <fill>
        <patternFill patternType="solid">
          <fgColor rgb="FF9BC2E6"/>
          <bgColor rgb="FF000000"/>
        </patternFill>
      </fill>
    </dxf>
    <dxf>
      <fill>
        <patternFill patternType="solid">
          <fgColor rgb="FFF7D1D5"/>
          <bgColor rgb="FF000000"/>
        </patternFill>
      </fill>
    </dxf>
    <dxf>
      <fill>
        <patternFill patternType="solid">
          <fgColor rgb="FFFBE5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A9D18E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AFD095"/>
          <bgColor rgb="FF000000"/>
        </patternFill>
      </fill>
    </dxf>
    <dxf>
      <fill>
        <patternFill patternType="solid">
          <fgColor rgb="FFF6F9D4"/>
          <bgColor rgb="FF000000"/>
        </patternFill>
      </fill>
    </dxf>
    <dxf>
      <fill>
        <patternFill patternType="solid">
          <fgColor rgb="FFD6DCE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F2F2F2"/>
      <rgbColor rgb="FFCC0000"/>
      <rgbColor rgb="FF006600"/>
      <rgbColor rgb="FF000080"/>
      <rgbColor rgb="FF996600"/>
      <rgbColor rgb="FF800080"/>
      <rgbColor rgb="FF008080"/>
      <rgbColor rgb="FFAFD095"/>
      <rgbColor rgb="FF808080"/>
      <rgbColor rgb="FFC6E0B4"/>
      <rgbColor rgb="FF993366"/>
      <rgbColor rgb="FFFFFFCC"/>
      <rgbColor rgb="FFE2F0D9"/>
      <rgbColor rgb="FF660066"/>
      <rgbColor rgb="FFDDDDDD"/>
      <rgbColor rgb="FF0066CC"/>
      <rgbColor rgb="FFD6DCE5"/>
      <rgbColor rgb="FF000080"/>
      <rgbColor rgb="FFFF00FF"/>
      <rgbColor rgb="FFF6F9D4"/>
      <rgbColor rgb="FF00FFFF"/>
      <rgbColor rgb="FF800080"/>
      <rgbColor rgb="FF800000"/>
      <rgbColor rgb="FF008080"/>
      <rgbColor rgb="FF0000FF"/>
      <rgbColor rgb="FF00CCFF"/>
      <rgbColor rgb="FFE2EFDA"/>
      <rgbColor rgb="FFCCFFCC"/>
      <rgbColor rgb="FFFFF2CC"/>
      <rgbColor rgb="FF9BC2E6"/>
      <rgbColor rgb="FFF7D1D5"/>
      <rgbColor rgb="FFD6DCE4"/>
      <rgbColor rgb="FFFFCCCC"/>
      <rgbColor rgb="FF3366FF"/>
      <rgbColor rgb="FFEDEDED"/>
      <rgbColor rgb="FFFBE5D6"/>
      <rgbColor rgb="FFFFC000"/>
      <rgbColor rgb="FFFCE4D6"/>
      <rgbColor rgb="FFFF6600"/>
      <rgbColor rgb="FF666699"/>
      <rgbColor rgb="FFA9D18E"/>
      <rgbColor rgb="FF003366"/>
      <rgbColor rgb="FF339966"/>
      <rgbColor rgb="FF0D0D0D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o14" displayName="Tablo14" ref="A24:I40" headerRowCount="1" totalsRowCount="0" totalsRowShown="0">
  <autoFilter ref="A24:I40"/>
  <tableColumns count="9">
    <tableColumn id="1" name="Tarih"/>
    <tableColumn id="2" name="Açıklama"/>
    <tableColumn id="3" name="snyA-H"/>
    <tableColumn id="4" name="Oran %"/>
    <tableColumn id="5" name="Oran TL Tutar"/>
    <tableColumn id="6" name="Ödendi"/>
    <tableColumn id="7" name="Oran TL"/>
    <tableColumn id="8" name="Genel Toplam"/>
    <tableColumn id="9" name="Sütun1"/>
  </tableColumns>
</table>
</file>

<file path=xl/tables/table2.xml><?xml version="1.0" encoding="utf-8"?>
<table xmlns="http://schemas.openxmlformats.org/spreadsheetml/2006/main" id="2" name="Tablo142" displayName="Tablo142" ref="A30:J47" headerRowCount="1" totalsRowCount="0" totalsRowShown="0">
  <autoFilter ref="A30:J47"/>
  <tableColumns count="10">
    <tableColumn id="1" name="Tarih"/>
    <tableColumn id="2" name="Açıklama"/>
    <tableColumn id="3" name="snyA-H"/>
    <tableColumn id="4" name="Oran %"/>
    <tableColumn id="5" name="Oran TL Tutar"/>
    <tableColumn id="6" name="Ödendi"/>
    <tableColumn id="7" name="Oran TL"/>
    <tableColumn id="8" name="Genel Toplam"/>
    <tableColumn id="9" name="Sütun1"/>
    <tableColumn id="10" name="Sütun2"/>
  </tableColumns>
</table>
</file>

<file path=xl/theme/theme1.xml><?xml version="1.0" encoding="utf-8"?>
<a:theme xmlns:a="http://schemas.openxmlformats.org/drawingml/2006/main" xmlns:r="http://schemas.openxmlformats.org/officeDocument/2006/relationships" name="Office Teması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6:F3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30" activeCellId="1" sqref="F84:F86 B30"/>
    </sheetView>
  </sheetViews>
  <sheetFormatPr defaultColWidth="8.66015625" defaultRowHeight="12.75" customHeight="false" zeroHeight="false" outlineLevelRow="0" outlineLevelCol="0"/>
  <cols>
    <col collapsed="false" customWidth="true" hidden="false" outlineLevel="0" max="1" min="1" style="0" width="12.14"/>
    <col collapsed="false" customWidth="true" hidden="false" outlineLevel="0" max="2" min="2" style="0" width="26.71"/>
    <col collapsed="false" customWidth="true" hidden="false" outlineLevel="0" max="3" min="3" style="0" width="12.14"/>
    <col collapsed="false" customWidth="true" hidden="false" outlineLevel="0" max="4" min="4" style="0" width="13"/>
    <col collapsed="false" customWidth="true" hidden="false" outlineLevel="0" max="5" min="5" style="0" width="11.71"/>
    <col collapsed="false" customWidth="true" hidden="false" outlineLevel="0" max="6" min="6" style="0" width="11.14"/>
    <col collapsed="false" customWidth="true" hidden="false" outlineLevel="0" max="7" min="7" style="0" width="9.14"/>
  </cols>
  <sheetData>
    <row r="6" customFormat="false" ht="15" hidden="false" customHeight="false" outlineLevel="0" collapsed="false">
      <c r="A6" s="1" t="n">
        <v>2024</v>
      </c>
      <c r="B6" s="2" t="s">
        <v>0</v>
      </c>
      <c r="F6" s="3" t="s">
        <v>1</v>
      </c>
    </row>
    <row r="7" customFormat="false" ht="12.75" hidden="false" customHeight="false" outlineLevel="0" collapsed="false">
      <c r="C7" s="3" t="s">
        <v>2</v>
      </c>
      <c r="D7" s="3" t="s">
        <v>3</v>
      </c>
      <c r="E7" s="3" t="s">
        <v>4</v>
      </c>
      <c r="F7" s="3" t="s">
        <v>5</v>
      </c>
    </row>
    <row r="8" customFormat="false" ht="12.75" hidden="false" customHeight="false" outlineLevel="0" collapsed="false">
      <c r="A8" s="0" t="s">
        <v>6</v>
      </c>
      <c r="B8" s="0" t="s">
        <v>7</v>
      </c>
      <c r="C8" s="4" t="n">
        <f aca="false">'SnyA105-25'!E4</f>
        <v>577119.774227472</v>
      </c>
      <c r="D8" s="4" t="n">
        <f aca="false">'SnyA105-25'!F4</f>
        <v>0</v>
      </c>
      <c r="E8" s="5" t="n">
        <f aca="false">C8-D8</f>
        <v>577119.774227472</v>
      </c>
      <c r="F8" s="5" t="n">
        <f aca="false">'SnyA105-25'!E6</f>
        <v>0</v>
      </c>
    </row>
    <row r="9" customFormat="false" ht="12.75" hidden="false" customHeight="false" outlineLevel="0" collapsed="false">
      <c r="A9" s="0" t="s">
        <v>8</v>
      </c>
      <c r="B9" s="0" t="s">
        <v>9</v>
      </c>
      <c r="C9" s="4" t="n">
        <f aca="false">'SnyB202-25'!D4</f>
        <v>353664</v>
      </c>
      <c r="D9" s="4" t="n">
        <f aca="false">'SnyB202-25'!E4</f>
        <v>290000</v>
      </c>
      <c r="E9" s="5" t="n">
        <f aca="false">C9-D9</f>
        <v>63664</v>
      </c>
      <c r="F9" s="5" t="n">
        <f aca="false">'SnyB202-25'!D6</f>
        <v>-1225.58</v>
      </c>
    </row>
    <row r="10" customFormat="false" ht="12.75" hidden="false" customHeight="false" outlineLevel="0" collapsed="false">
      <c r="A10" s="0" t="s">
        <v>10</v>
      </c>
      <c r="B10" s="0" t="s">
        <v>11</v>
      </c>
      <c r="C10" s="4" t="n">
        <f aca="false">'SnyC301-25'!E4</f>
        <v>240000</v>
      </c>
      <c r="D10" s="4" t="n">
        <f aca="false">'SnyC301-25'!F4</f>
        <v>135000</v>
      </c>
      <c r="E10" s="5" t="n">
        <f aca="false">C10-D10</f>
        <v>105000</v>
      </c>
      <c r="F10" s="5" t="n">
        <f aca="false">'SnyC301-25'!E6</f>
        <v>-4079.59</v>
      </c>
    </row>
    <row r="11" customFormat="false" ht="12.75" hidden="false" customHeight="false" outlineLevel="0" collapsed="false">
      <c r="A11" s="0" t="s">
        <v>12</v>
      </c>
      <c r="B11" s="0" t="s">
        <v>13</v>
      </c>
      <c r="C11" s="4" t="n">
        <f aca="false">'SnyE502-22'!D4</f>
        <v>7000</v>
      </c>
      <c r="D11" s="4" t="n">
        <f aca="false">'SnyE502-22'!E4</f>
        <v>0</v>
      </c>
      <c r="E11" s="5" t="n">
        <f aca="false">C11-D11</f>
        <v>7000</v>
      </c>
      <c r="F11" s="5" t="n">
        <f aca="false">'SnyE502-22'!D6</f>
        <v>-794.6</v>
      </c>
    </row>
    <row r="12" customFormat="false" ht="12.75" hidden="false" customHeight="false" outlineLevel="0" collapsed="false">
      <c r="A12" s="0" t="s">
        <v>14</v>
      </c>
      <c r="B12" s="0" t="s">
        <v>15</v>
      </c>
      <c r="C12" s="4" t="n">
        <f aca="false">'SnyF601-22'!E4</f>
        <v>447218.535788994</v>
      </c>
      <c r="D12" s="4" t="n">
        <f aca="false">'SnyF601-22'!F4</f>
        <v>184917.52</v>
      </c>
      <c r="E12" s="5" t="n">
        <f aca="false">C12-D12</f>
        <v>262301.015788994</v>
      </c>
      <c r="F12" s="5" t="n">
        <f aca="false">'SnyF601-22'!E6</f>
        <v>-2824.53</v>
      </c>
    </row>
    <row r="13" customFormat="false" ht="12.75" hidden="false" customHeight="false" outlineLevel="0" collapsed="false">
      <c r="A13" s="0" t="s">
        <v>16</v>
      </c>
      <c r="B13" s="0" t="s">
        <v>17</v>
      </c>
      <c r="C13" s="4" t="n">
        <f aca="false">'SnyG702-22'!E4</f>
        <v>110513</v>
      </c>
      <c r="D13" s="4" t="n">
        <f aca="false">'SnyG702-22'!F4</f>
        <v>0</v>
      </c>
      <c r="E13" s="5" t="n">
        <f aca="false">C13-D13</f>
        <v>110513</v>
      </c>
      <c r="F13" s="5" t="n">
        <f aca="false">'SnyG702-22'!E6</f>
        <v>-1200</v>
      </c>
    </row>
    <row r="14" customFormat="false" ht="12.75" hidden="false" customHeight="false" outlineLevel="0" collapsed="false">
      <c r="A14" s="0" t="s">
        <v>18</v>
      </c>
      <c r="B14" s="0" t="s">
        <v>19</v>
      </c>
      <c r="C14" s="5" t="n">
        <f aca="false">SnH_yazıhane!F2*-1</f>
        <v>-3999.1</v>
      </c>
      <c r="D14" s="5" t="n">
        <f aca="false">C14</f>
        <v>-3999.1</v>
      </c>
      <c r="E14" s="5" t="n">
        <f aca="false">C14-D14</f>
        <v>0</v>
      </c>
    </row>
    <row r="15" customFormat="false" ht="12.75" hidden="false" customHeight="false" outlineLevel="0" collapsed="false">
      <c r="E15" s="5"/>
    </row>
    <row r="16" customFormat="false" ht="12.75" hidden="false" customHeight="false" outlineLevel="0" collapsed="false">
      <c r="B16" s="6" t="s">
        <v>20</v>
      </c>
      <c r="C16" s="7" t="n">
        <f aca="false">SUM(C8:C14)</f>
        <v>1731516.21001647</v>
      </c>
      <c r="D16" s="7" t="n">
        <f aca="false">SUM(D8:D14)</f>
        <v>605918.42</v>
      </c>
      <c r="E16" s="7" t="n">
        <f aca="false">SUM(E8:E14)</f>
        <v>1125597.79001647</v>
      </c>
      <c r="F16" s="7" t="n">
        <f aca="false">SUM(F8:F14)</f>
        <v>-10124.3</v>
      </c>
    </row>
    <row r="18" customFormat="false" ht="12.75" hidden="false" customHeight="false" outlineLevel="0" collapsed="false">
      <c r="D18" s="8"/>
    </row>
    <row r="19" customFormat="false" ht="15" hidden="false" customHeight="false" outlineLevel="0" collapsed="false">
      <c r="A19" s="1" t="n">
        <v>2025</v>
      </c>
      <c r="B19" s="2" t="s">
        <v>0</v>
      </c>
      <c r="F19" s="3" t="s">
        <v>1</v>
      </c>
    </row>
    <row r="20" customFormat="false" ht="12.75" hidden="false" customHeight="false" outlineLevel="0" collapsed="false">
      <c r="C20" s="3" t="s">
        <v>2</v>
      </c>
      <c r="D20" s="3" t="s">
        <v>3</v>
      </c>
      <c r="E20" s="3" t="s">
        <v>4</v>
      </c>
      <c r="F20" s="3" t="s">
        <v>5</v>
      </c>
    </row>
    <row r="21" customFormat="false" ht="12.75" hidden="false" customHeight="false" outlineLevel="0" collapsed="false">
      <c r="A21" s="0" t="s">
        <v>6</v>
      </c>
      <c r="B21" s="0" t="s">
        <v>7</v>
      </c>
      <c r="C21" s="4" t="n">
        <v>150</v>
      </c>
      <c r="D21" s="4" t="n">
        <v>0</v>
      </c>
      <c r="E21" s="5" t="n">
        <f aca="false">C21-D21</f>
        <v>150</v>
      </c>
      <c r="F21" s="5" t="n">
        <f aca="false">'SnyA105-25'!E20</f>
        <v>0</v>
      </c>
    </row>
    <row r="22" customFormat="false" ht="12.75" hidden="false" customHeight="false" outlineLevel="0" collapsed="false">
      <c r="A22" s="0" t="s">
        <v>8</v>
      </c>
      <c r="B22" s="0" t="s">
        <v>9</v>
      </c>
      <c r="C22" s="4" t="n">
        <v>250</v>
      </c>
      <c r="D22" s="4" t="n">
        <v>0</v>
      </c>
      <c r="E22" s="5" t="n">
        <f aca="false">C22-D22</f>
        <v>250</v>
      </c>
      <c r="F22" s="5" t="n">
        <f aca="false">'SnyB202-25'!D19</f>
        <v>0</v>
      </c>
    </row>
    <row r="23" customFormat="false" ht="12.75" hidden="false" customHeight="false" outlineLevel="0" collapsed="false">
      <c r="A23" s="0" t="s">
        <v>21</v>
      </c>
      <c r="C23" s="4" t="n">
        <v>170</v>
      </c>
      <c r="D23" s="4" t="e">
        <f aca="false">'snyc301-25'!#ref!</f>
        <v>#VALUE!</v>
      </c>
      <c r="E23" s="5" t="e">
        <f aca="false">C23-D23</f>
        <v>#VALUE!</v>
      </c>
      <c r="F23" s="5" t="e">
        <f aca="false">'snyc301-25'!#ref!</f>
        <v>#VALUE!</v>
      </c>
    </row>
    <row r="24" customFormat="false" ht="12.75" hidden="false" customHeight="false" outlineLevel="0" collapsed="false">
      <c r="A24" s="0" t="s">
        <v>22</v>
      </c>
      <c r="C24" s="4" t="n">
        <v>170</v>
      </c>
      <c r="D24" s="4" t="n">
        <v>0</v>
      </c>
      <c r="E24" s="5" t="n">
        <f aca="false">C24-D24</f>
        <v>170</v>
      </c>
      <c r="F24" s="5"/>
    </row>
    <row r="25" customFormat="false" ht="12.75" hidden="false" customHeight="false" outlineLevel="0" collapsed="false">
      <c r="A25" s="0" t="s">
        <v>12</v>
      </c>
      <c r="B25" s="0" t="s">
        <v>13</v>
      </c>
      <c r="C25" s="4" t="n">
        <v>170</v>
      </c>
      <c r="D25" s="4" t="n">
        <f aca="false">'SnyE502-22'!E17</f>
        <v>0</v>
      </c>
      <c r="E25" s="5" t="n">
        <f aca="false">C25-D25</f>
        <v>170</v>
      </c>
      <c r="F25" s="5" t="n">
        <f aca="false">'SnyE502-22'!D19</f>
        <v>0</v>
      </c>
    </row>
    <row r="26" customFormat="false" ht="12.75" hidden="false" customHeight="false" outlineLevel="0" collapsed="false">
      <c r="A26" s="0" t="s">
        <v>14</v>
      </c>
      <c r="B26" s="0" t="s">
        <v>15</v>
      </c>
      <c r="C26" s="4" t="n">
        <v>170</v>
      </c>
      <c r="D26" s="4" t="n">
        <f aca="false">'SnyF601-22'!F17</f>
        <v>0</v>
      </c>
      <c r="E26" s="5" t="n">
        <f aca="false">C26-D26</f>
        <v>170</v>
      </c>
      <c r="F26" s="5" t="e">
        <f aca="false">'snyf601-22'!#ref!</f>
        <v>#VALUE!</v>
      </c>
    </row>
    <row r="27" customFormat="false" ht="12.75" hidden="false" customHeight="false" outlineLevel="0" collapsed="false">
      <c r="A27" s="0" t="s">
        <v>16</v>
      </c>
      <c r="B27" s="0" t="s">
        <v>17</v>
      </c>
      <c r="C27" s="4" t="n">
        <v>170</v>
      </c>
      <c r="D27" s="4" t="n">
        <f aca="false">'SnyG702-22'!F17</f>
        <v>0</v>
      </c>
      <c r="E27" s="5" t="n">
        <f aca="false">C27-D27</f>
        <v>170</v>
      </c>
      <c r="F27" s="5" t="n">
        <f aca="false">'SnyG702-22'!E19</f>
        <v>0</v>
      </c>
    </row>
    <row r="28" customFormat="false" ht="12.75" hidden="false" customHeight="false" outlineLevel="0" collapsed="false">
      <c r="A28" s="0" t="s">
        <v>18</v>
      </c>
      <c r="B28" s="0" t="s">
        <v>19</v>
      </c>
      <c r="C28" s="5" t="n">
        <f aca="false">SnH_yazıhane!F15*-1</f>
        <v>-0</v>
      </c>
      <c r="D28" s="5" t="n">
        <f aca="false">C28</f>
        <v>-0</v>
      </c>
      <c r="E28" s="5" t="n">
        <f aca="false">C28-D28</f>
        <v>0</v>
      </c>
    </row>
    <row r="29" customFormat="false" ht="12.75" hidden="false" customHeight="false" outlineLevel="0" collapsed="false">
      <c r="E29" s="5"/>
    </row>
    <row r="30" customFormat="false" ht="12.75" hidden="false" customHeight="false" outlineLevel="0" collapsed="false">
      <c r="B30" s="6" t="s">
        <v>20</v>
      </c>
      <c r="C30" s="7" t="n">
        <f aca="false">SUM(C21:C28)</f>
        <v>1250</v>
      </c>
      <c r="D30" s="7" t="e">
        <f aca="false">SUM(D21:D28)</f>
        <v>#VALUE!</v>
      </c>
      <c r="E30" s="7" t="e">
        <f aca="false">SUM(E21:E28)</f>
        <v>#VALUE!</v>
      </c>
      <c r="F30" s="7" t="e">
        <f aca="false">SUM(F21:F28)</f>
        <v>#VALUE!</v>
      </c>
    </row>
  </sheetData>
  <printOptions headings="false" gridLines="false" gridLinesSet="true" horizontalCentered="false" verticalCentered="false"/>
  <pageMargins left="0.39375" right="0.236111111111111" top="0.709027777777778" bottom="0.70625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0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F86" activeCellId="0" sqref="F84:F86"/>
    </sheetView>
  </sheetViews>
  <sheetFormatPr defaultColWidth="8.66015625" defaultRowHeight="12.75" customHeight="false" zeroHeight="false" outlineLevelRow="0" outlineLevelCol="0"/>
  <cols>
    <col collapsed="false" customWidth="true" hidden="false" outlineLevel="0" max="1" min="1" style="9" width="9.43"/>
    <col collapsed="false" customWidth="true" hidden="false" outlineLevel="0" max="2" min="2" style="0" width="24.14"/>
    <col collapsed="false" customWidth="true" hidden="false" outlineLevel="0" max="3" min="3" style="0" width="7"/>
    <col collapsed="false" customWidth="true" hidden="false" outlineLevel="0" max="5" min="4" style="4" width="12.14"/>
    <col collapsed="false" customWidth="true" hidden="false" outlineLevel="0" max="8" min="6" style="0" width="12.14"/>
    <col collapsed="false" customWidth="true" hidden="false" outlineLevel="0" max="9" min="9" style="0" width="9.14"/>
  </cols>
  <sheetData>
    <row r="1" customFormat="false" ht="12.75" hidden="false" customHeight="false" outlineLevel="0" collapsed="false">
      <c r="B1" s="10" t="s">
        <v>23</v>
      </c>
      <c r="C1" s="10"/>
      <c r="D1" s="11"/>
      <c r="F1" s="4"/>
      <c r="G1" s="12" t="s">
        <v>24</v>
      </c>
    </row>
    <row r="2" customFormat="false" ht="12.75" hidden="false" customHeight="false" outlineLevel="0" collapsed="false">
      <c r="B2" s="10"/>
      <c r="C2" s="10"/>
      <c r="D2" s="11"/>
      <c r="F2" s="4"/>
      <c r="G2" s="4"/>
    </row>
    <row r="3" customFormat="false" ht="12.75" hidden="false" customHeight="false" outlineLevel="0" collapsed="false">
      <c r="A3" s="13" t="s">
        <v>25</v>
      </c>
      <c r="B3" s="14" t="s">
        <v>26</v>
      </c>
      <c r="C3" s="14"/>
      <c r="D3" s="15"/>
      <c r="E3" s="16" t="s">
        <v>27</v>
      </c>
      <c r="F3" s="16" t="s">
        <v>3</v>
      </c>
      <c r="G3" s="16" t="s">
        <v>28</v>
      </c>
    </row>
    <row r="4" customFormat="false" ht="12.75" hidden="false" customHeight="false" outlineLevel="0" collapsed="false">
      <c r="B4" s="17" t="s">
        <v>20</v>
      </c>
      <c r="C4" s="18"/>
      <c r="D4" s="19"/>
      <c r="E4" s="20" t="n">
        <f aca="false">SUM(E10:E21)</f>
        <v>577119.774227472</v>
      </c>
      <c r="F4" s="21" t="n">
        <f aca="false">SUM(F10:F21)</f>
        <v>0</v>
      </c>
      <c r="G4" s="22" t="n">
        <f aca="false">G21</f>
        <v>577119.774227472</v>
      </c>
    </row>
    <row r="5" customFormat="false" ht="12.75" hidden="false" customHeight="false" outlineLevel="0" collapsed="false">
      <c r="B5" s="23" t="s">
        <v>29</v>
      </c>
      <c r="C5" s="23"/>
      <c r="D5" s="19"/>
      <c r="E5" s="24" t="n">
        <f aca="false">G41</f>
        <v>0</v>
      </c>
      <c r="F5" s="4"/>
    </row>
    <row r="6" customFormat="false" ht="12.75" hidden="false" customHeight="false" outlineLevel="0" collapsed="false">
      <c r="B6" s="23" t="s">
        <v>5</v>
      </c>
      <c r="C6" s="23"/>
      <c r="E6" s="25" t="n">
        <f aca="false">G38</f>
        <v>0</v>
      </c>
      <c r="F6" s="23"/>
      <c r="G6" s="12"/>
    </row>
    <row r="7" customFormat="false" ht="12.75" hidden="false" customHeight="false" outlineLevel="0" collapsed="false">
      <c r="A7" s="26"/>
      <c r="B7" s="27"/>
      <c r="C7" s="27"/>
      <c r="D7" s="28"/>
      <c r="E7" s="29"/>
      <c r="F7" s="30" t="s">
        <v>30</v>
      </c>
      <c r="G7" s="31" t="n">
        <f aca="false">F4-E5</f>
        <v>0</v>
      </c>
    </row>
    <row r="8" customFormat="false" ht="12.75" hidden="false" customHeight="false" outlineLevel="0" collapsed="false">
      <c r="B8" s="23" t="s">
        <v>31</v>
      </c>
      <c r="C8" s="23"/>
      <c r="F8" s="4"/>
      <c r="G8" s="4"/>
    </row>
    <row r="9" customFormat="false" ht="12.75" hidden="false" customHeight="false" outlineLevel="0" collapsed="false">
      <c r="A9" s="9" t="n">
        <v>45197</v>
      </c>
      <c r="B9" s="0" t="s">
        <v>32</v>
      </c>
      <c r="C9" s="23"/>
      <c r="E9" s="4" t="n">
        <v>84000</v>
      </c>
      <c r="F9" s="4" t="n">
        <v>84000</v>
      </c>
      <c r="G9" s="4"/>
    </row>
    <row r="10" customFormat="false" ht="12.75" hidden="false" customHeight="false" outlineLevel="0" collapsed="false">
      <c r="A10" s="9" t="n">
        <v>45563</v>
      </c>
      <c r="B10" s="0" t="s">
        <v>33</v>
      </c>
      <c r="C10" s="0" t="s">
        <v>34</v>
      </c>
      <c r="E10" s="32" t="n">
        <f aca="false">D49</f>
        <v>137314.8</v>
      </c>
      <c r="F10" s="33"/>
      <c r="G10" s="4" t="n">
        <f aca="false">E10-F10</f>
        <v>137314.8</v>
      </c>
    </row>
    <row r="11" customFormat="false" ht="12.75" hidden="false" customHeight="false" outlineLevel="0" collapsed="false">
      <c r="A11" s="9" t="n">
        <v>45928</v>
      </c>
      <c r="B11" s="0" t="s">
        <v>35</v>
      </c>
      <c r="C11" s="0" t="s">
        <v>34</v>
      </c>
      <c r="E11" s="32" t="n">
        <f aca="false">D46</f>
        <v>189988.75728</v>
      </c>
      <c r="F11" s="33"/>
      <c r="G11" s="4" t="n">
        <f aca="false">E11-F11+G10</f>
        <v>327303.55728</v>
      </c>
    </row>
    <row r="12" customFormat="false" ht="12.75" hidden="false" customHeight="false" outlineLevel="0" collapsed="false">
      <c r="A12" s="9" t="n">
        <v>46293</v>
      </c>
      <c r="B12" s="0" t="s">
        <v>35</v>
      </c>
      <c r="C12" s="0" t="s">
        <v>34</v>
      </c>
      <c r="E12" s="32" t="n">
        <f aca="false">D43</f>
        <v>249816.216947472</v>
      </c>
      <c r="F12" s="33"/>
      <c r="G12" s="4" t="n">
        <f aca="false">E12-F12+G11</f>
        <v>577119.774227472</v>
      </c>
    </row>
    <row r="13" customFormat="false" ht="12.75" hidden="false" customHeight="false" outlineLevel="0" collapsed="false">
      <c r="E13" s="32"/>
      <c r="F13" s="33"/>
      <c r="G13" s="4" t="n">
        <f aca="false">E13-F13+G12</f>
        <v>577119.774227472</v>
      </c>
    </row>
    <row r="14" customFormat="false" ht="13.8" hidden="false" customHeight="false" outlineLevel="0" collapsed="false">
      <c r="B14" s="34" t="n">
        <v>45739</v>
      </c>
      <c r="E14" s="32"/>
      <c r="F14" s="33"/>
      <c r="G14" s="4" t="n">
        <f aca="false">E14-F14+G13</f>
        <v>577119.774227472</v>
      </c>
    </row>
    <row r="15" customFormat="false" ht="13.8" hidden="false" customHeight="false" outlineLevel="0" collapsed="false">
      <c r="A15" s="35"/>
      <c r="B15" s="34" t="n">
        <v>46302</v>
      </c>
      <c r="E15" s="36"/>
      <c r="F15" s="37"/>
      <c r="G15" s="4" t="n">
        <f aca="false">E15-F15+G14</f>
        <v>577119.774227472</v>
      </c>
    </row>
    <row r="16" customFormat="false" ht="12.75" hidden="false" customHeight="false" outlineLevel="0" collapsed="false">
      <c r="A16" s="35"/>
      <c r="E16" s="36"/>
      <c r="F16" s="37"/>
      <c r="G16" s="4" t="n">
        <f aca="false">E16-F16+G15</f>
        <v>577119.774227472</v>
      </c>
    </row>
    <row r="17" customFormat="false" ht="12.75" hidden="false" customHeight="false" outlineLevel="0" collapsed="false">
      <c r="A17" s="35"/>
      <c r="E17" s="36"/>
      <c r="F17" s="37"/>
      <c r="G17" s="4" t="n">
        <f aca="false">E17-F17+G16</f>
        <v>577119.774227472</v>
      </c>
    </row>
    <row r="18" customFormat="false" ht="12.75" hidden="false" customHeight="false" outlineLevel="0" collapsed="false">
      <c r="A18" s="35"/>
      <c r="E18" s="36"/>
      <c r="F18" s="37"/>
      <c r="G18" s="4" t="n">
        <f aca="false">E18-F18+G17</f>
        <v>577119.774227472</v>
      </c>
    </row>
    <row r="19" customFormat="false" ht="12.75" hidden="false" customHeight="false" outlineLevel="0" collapsed="false">
      <c r="A19" s="35"/>
      <c r="E19" s="36"/>
      <c r="F19" s="37"/>
      <c r="G19" s="4" t="n">
        <f aca="false">E19-F19+G18</f>
        <v>577119.774227472</v>
      </c>
    </row>
    <row r="20" customFormat="false" ht="12.75" hidden="false" customHeight="false" outlineLevel="0" collapsed="false">
      <c r="A20" s="35"/>
      <c r="E20" s="36"/>
      <c r="F20" s="37"/>
      <c r="G20" s="4" t="n">
        <f aca="false">E20-F20+G19</f>
        <v>577119.774227472</v>
      </c>
    </row>
    <row r="21" customFormat="false" ht="12.75" hidden="false" customHeight="false" outlineLevel="0" collapsed="false">
      <c r="A21" s="35"/>
      <c r="E21" s="36"/>
      <c r="F21" s="37"/>
      <c r="G21" s="38" t="n">
        <f aca="false">E21-F21+G20</f>
        <v>577119.774227472</v>
      </c>
    </row>
    <row r="22" customFormat="false" ht="12.75" hidden="false" customHeight="false" outlineLevel="0" collapsed="false">
      <c r="A22" s="35"/>
      <c r="E22" s="39"/>
      <c r="F22" s="19"/>
      <c r="G22" s="19"/>
    </row>
    <row r="23" customFormat="false" ht="12.75" hidden="false" customHeight="false" outlineLevel="0" collapsed="false">
      <c r="A23" s="35"/>
      <c r="E23" s="39"/>
      <c r="F23" s="19"/>
      <c r="G23" s="19"/>
    </row>
    <row r="24" customFormat="false" ht="12.75" hidden="false" customHeight="false" outlineLevel="0" collapsed="false">
      <c r="A24" s="40" t="s">
        <v>36</v>
      </c>
      <c r="B24" s="27" t="s">
        <v>37</v>
      </c>
      <c r="C24" s="27"/>
      <c r="D24" s="29" t="s">
        <v>38</v>
      </c>
      <c r="E24" s="41" t="s">
        <v>39</v>
      </c>
      <c r="F24" s="28"/>
      <c r="G24" s="28" t="s">
        <v>40</v>
      </c>
    </row>
    <row r="25" customFormat="false" ht="12.75" hidden="false" customHeight="false" outlineLevel="0" collapsed="false">
      <c r="A25" s="35" t="n">
        <v>44927</v>
      </c>
      <c r="B25" s="0" t="s">
        <v>41</v>
      </c>
      <c r="D25" s="4" t="n">
        <v>2137.3</v>
      </c>
      <c r="E25" s="39"/>
      <c r="F25" s="19"/>
      <c r="G25" s="19" t="n">
        <v>0</v>
      </c>
    </row>
    <row r="26" customFormat="false" ht="12.75" hidden="false" customHeight="false" outlineLevel="0" collapsed="false">
      <c r="A26" s="35" t="s">
        <v>42</v>
      </c>
      <c r="B26" s="0" t="s">
        <v>43</v>
      </c>
      <c r="C26" s="0" t="n">
        <v>24.8</v>
      </c>
      <c r="D26" s="4" t="n">
        <f aca="false">D25+C26</f>
        <v>2162.1</v>
      </c>
      <c r="E26" s="19"/>
      <c r="F26" s="19"/>
      <c r="G26" s="19" t="n">
        <f aca="false">E26-F26+G25</f>
        <v>0</v>
      </c>
    </row>
    <row r="27" customFormat="false" ht="12.75" hidden="false" customHeight="false" outlineLevel="0" collapsed="false">
      <c r="A27" s="35" t="s">
        <v>44</v>
      </c>
      <c r="B27" s="0" t="s">
        <v>45</v>
      </c>
      <c r="C27" s="0" t="n">
        <v>-21.12</v>
      </c>
      <c r="D27" s="4" t="n">
        <f aca="false">D26+C27</f>
        <v>2140.98</v>
      </c>
      <c r="E27" s="19"/>
      <c r="F27" s="19"/>
      <c r="G27" s="19" t="n">
        <f aca="false">E27-F27+G26</f>
        <v>0</v>
      </c>
    </row>
    <row r="28" customFormat="false" ht="12.75" hidden="false" customHeight="false" outlineLevel="0" collapsed="false">
      <c r="A28" s="35" t="s">
        <v>46</v>
      </c>
      <c r="B28" s="0" t="s">
        <v>47</v>
      </c>
      <c r="C28" s="0" t="n">
        <v>-52.17</v>
      </c>
      <c r="D28" s="4" t="n">
        <v>2231.5</v>
      </c>
      <c r="E28" s="19"/>
      <c r="F28" s="19"/>
      <c r="G28" s="19" t="n">
        <f aca="false">E28-F28+G27</f>
        <v>0</v>
      </c>
    </row>
    <row r="29" customFormat="false" ht="12.75" hidden="false" customHeight="false" outlineLevel="0" collapsed="false">
      <c r="A29" s="35" t="s">
        <v>48</v>
      </c>
      <c r="E29" s="19"/>
      <c r="F29" s="19"/>
      <c r="G29" s="19" t="n">
        <f aca="false">E29-F29+G28</f>
        <v>0</v>
      </c>
    </row>
    <row r="30" customFormat="false" ht="12.75" hidden="false" customHeight="false" outlineLevel="0" collapsed="false">
      <c r="A30" s="35" t="s">
        <v>49</v>
      </c>
      <c r="E30" s="19"/>
      <c r="F30" s="19"/>
      <c r="G30" s="19" t="n">
        <f aca="false">E30-F30+G29</f>
        <v>0</v>
      </c>
    </row>
    <row r="31" customFormat="false" ht="12.75" hidden="false" customHeight="false" outlineLevel="0" collapsed="false">
      <c r="A31" s="35" t="s">
        <v>50</v>
      </c>
      <c r="E31" s="19"/>
      <c r="F31" s="19"/>
      <c r="G31" s="19" t="n">
        <f aca="false">E31-F31+G30</f>
        <v>0</v>
      </c>
    </row>
    <row r="32" customFormat="false" ht="12.75" hidden="false" customHeight="false" outlineLevel="0" collapsed="false">
      <c r="A32" s="35" t="s">
        <v>51</v>
      </c>
      <c r="E32" s="19"/>
      <c r="F32" s="19"/>
      <c r="G32" s="19" t="n">
        <f aca="false">E32-F32+G31</f>
        <v>0</v>
      </c>
    </row>
    <row r="33" customFormat="false" ht="12.75" hidden="false" customHeight="false" outlineLevel="0" collapsed="false">
      <c r="A33" s="35" t="s">
        <v>52</v>
      </c>
      <c r="E33" s="19"/>
      <c r="F33" s="19"/>
      <c r="G33" s="19" t="n">
        <f aca="false">E33-F33+G32</f>
        <v>0</v>
      </c>
    </row>
    <row r="34" customFormat="false" ht="12.75" hidden="false" customHeight="false" outlineLevel="0" collapsed="false">
      <c r="A34" s="35" t="s">
        <v>53</v>
      </c>
      <c r="E34" s="39"/>
      <c r="F34" s="19"/>
      <c r="G34" s="19" t="n">
        <f aca="false">E34-F34+G33</f>
        <v>0</v>
      </c>
    </row>
    <row r="35" customFormat="false" ht="12.75" hidden="false" customHeight="false" outlineLevel="0" collapsed="false">
      <c r="A35" s="35" t="s">
        <v>54</v>
      </c>
      <c r="E35" s="39"/>
      <c r="F35" s="19"/>
      <c r="G35" s="19" t="n">
        <f aca="false">E35-F35+G34</f>
        <v>0</v>
      </c>
    </row>
    <row r="36" customFormat="false" ht="12.75" hidden="false" customHeight="false" outlineLevel="0" collapsed="false">
      <c r="A36" s="35" t="s">
        <v>55</v>
      </c>
      <c r="E36" s="39"/>
      <c r="F36" s="19"/>
      <c r="G36" s="19" t="n">
        <f aca="false">E36-F36+G35</f>
        <v>0</v>
      </c>
    </row>
    <row r="37" customFormat="false" ht="12.75" hidden="false" customHeight="false" outlineLevel="0" collapsed="false">
      <c r="A37" s="40" t="s">
        <v>56</v>
      </c>
      <c r="B37" s="27"/>
      <c r="C37" s="27"/>
      <c r="E37" s="41"/>
      <c r="F37" s="28"/>
      <c r="G37" s="28" t="n">
        <f aca="false">E37-F37+G36</f>
        <v>0</v>
      </c>
    </row>
    <row r="38" customFormat="false" ht="12.75" hidden="false" customHeight="false" outlineLevel="0" collapsed="false">
      <c r="A38" s="42" t="n">
        <v>45291</v>
      </c>
      <c r="B38" s="43" t="s">
        <v>41</v>
      </c>
      <c r="C38" s="43"/>
      <c r="D38" s="44"/>
      <c r="E38" s="45"/>
      <c r="F38" s="46"/>
      <c r="G38" s="47" t="n">
        <f aca="false">E38-F38+G37</f>
        <v>0</v>
      </c>
    </row>
    <row r="39" customFormat="false" ht="12.75" hidden="false" customHeight="false" outlineLevel="0" collapsed="false">
      <c r="A39" s="35"/>
      <c r="E39" s="39"/>
      <c r="F39" s="39"/>
      <c r="G39" s="39"/>
    </row>
    <row r="40" customFormat="false" ht="12.75" hidden="false" customHeight="false" outlineLevel="0" collapsed="false">
      <c r="F40" s="4"/>
      <c r="G40" s="4"/>
    </row>
    <row r="41" customFormat="false" ht="12.75" hidden="false" customHeight="false" outlineLevel="0" collapsed="false">
      <c r="A41" s="48" t="s">
        <v>57</v>
      </c>
      <c r="B41" s="49" t="s">
        <v>58</v>
      </c>
      <c r="C41" s="49"/>
      <c r="D41" s="50"/>
      <c r="E41" s="51"/>
      <c r="F41" s="29"/>
      <c r="G41" s="52" t="n">
        <f aca="false">SUM(F42:F43)</f>
        <v>0</v>
      </c>
    </row>
    <row r="42" customFormat="false" ht="12.75" hidden="false" customHeight="false" outlineLevel="0" collapsed="false">
      <c r="B42" s="10"/>
      <c r="C42" s="10"/>
      <c r="D42" s="11"/>
    </row>
    <row r="43" customFormat="false" ht="12.75" hidden="false" customHeight="false" outlineLevel="0" collapsed="false">
      <c r="C43" s="0" t="n">
        <f aca="false">D46</f>
        <v>189988.75728</v>
      </c>
      <c r="D43" s="4" t="n">
        <f aca="false">D44+C43</f>
        <v>249816.216947472</v>
      </c>
      <c r="G43" s="4"/>
      <c r="H43" s="4"/>
    </row>
    <row r="44" customFormat="false" ht="12.75" hidden="false" customHeight="false" outlineLevel="0" collapsed="false">
      <c r="A44" s="9" t="n">
        <v>46295</v>
      </c>
      <c r="B44" s="0" t="s">
        <v>59</v>
      </c>
      <c r="C44" s="0" t="n">
        <v>31.49</v>
      </c>
      <c r="D44" s="4" t="n">
        <f aca="false">C43*C44/100</f>
        <v>59827.459667472</v>
      </c>
      <c r="G44" s="4"/>
      <c r="H44" s="4"/>
    </row>
    <row r="45" customFormat="false" ht="12.75" hidden="false" customHeight="false" outlineLevel="0" collapsed="false">
      <c r="G45" s="4"/>
      <c r="H45" s="4"/>
    </row>
    <row r="46" customFormat="false" ht="12.75" hidden="false" customHeight="false" outlineLevel="0" collapsed="false">
      <c r="C46" s="0" t="n">
        <f aca="false">D49</f>
        <v>137314.8</v>
      </c>
      <c r="D46" s="4" t="n">
        <f aca="false">D47+C46</f>
        <v>189988.75728</v>
      </c>
      <c r="G46" s="4"/>
      <c r="H46" s="4"/>
    </row>
    <row r="47" customFormat="false" ht="12.75" hidden="false" customHeight="false" outlineLevel="0" collapsed="false">
      <c r="A47" s="9" t="n">
        <v>45930</v>
      </c>
      <c r="B47" s="0" t="s">
        <v>60</v>
      </c>
      <c r="C47" s="0" t="n">
        <v>38.36</v>
      </c>
      <c r="D47" s="4" t="n">
        <f aca="false">C46*C47/100</f>
        <v>52673.95728</v>
      </c>
      <c r="G47" s="4"/>
      <c r="H47" s="4"/>
    </row>
    <row r="48" customFormat="false" ht="12.75" hidden="false" customHeight="false" outlineLevel="0" collapsed="false">
      <c r="G48" s="4"/>
      <c r="H48" s="4"/>
    </row>
    <row r="49" customFormat="false" ht="12.75" hidden="false" customHeight="false" outlineLevel="0" collapsed="false">
      <c r="C49" s="0" t="n">
        <v>84000</v>
      </c>
      <c r="D49" s="4" t="n">
        <f aca="false">D50+C49</f>
        <v>137314.8</v>
      </c>
      <c r="G49" s="4"/>
      <c r="H49" s="4"/>
    </row>
    <row r="50" customFormat="false" ht="12.75" hidden="false" customHeight="false" outlineLevel="0" collapsed="false">
      <c r="A50" s="9" t="n">
        <v>45565</v>
      </c>
      <c r="B50" s="0" t="s">
        <v>61</v>
      </c>
      <c r="C50" s="0" t="n">
        <v>63.47</v>
      </c>
      <c r="D50" s="4" t="n">
        <f aca="false">C49*C50/100</f>
        <v>53314.8</v>
      </c>
      <c r="G50" s="4"/>
      <c r="H50" s="4"/>
    </row>
    <row r="51" customFormat="false" ht="12.75" hidden="false" customHeight="false" outlineLevel="0" collapsed="false">
      <c r="G51" s="4"/>
      <c r="H51" s="4"/>
    </row>
    <row r="52" customFormat="false" ht="12.75" hidden="false" customHeight="false" outlineLevel="0" collapsed="false">
      <c r="A52" s="35" t="n">
        <v>45166</v>
      </c>
      <c r="B52" s="0" t="s">
        <v>62</v>
      </c>
      <c r="D52" s="39"/>
      <c r="E52" s="39"/>
      <c r="F52" s="39"/>
      <c r="G52" s="4"/>
      <c r="H52" s="4"/>
    </row>
    <row r="53" customFormat="false" ht="12.75" hidden="false" customHeight="false" outlineLevel="0" collapsed="false">
      <c r="A53" s="35"/>
      <c r="B53" s="0" t="s">
        <v>63</v>
      </c>
      <c r="D53" s="39"/>
      <c r="E53" s="39"/>
      <c r="F53" s="39"/>
      <c r="G53" s="4"/>
      <c r="H53" s="4"/>
    </row>
    <row r="54" customFormat="false" ht="12.75" hidden="false" customHeight="false" outlineLevel="0" collapsed="false">
      <c r="A54" s="35"/>
      <c r="B54" s="0" t="s">
        <v>64</v>
      </c>
      <c r="D54" s="39"/>
      <c r="E54" s="39"/>
      <c r="F54" s="39"/>
      <c r="G54" s="4"/>
      <c r="H54" s="4"/>
    </row>
    <row r="55" customFormat="false" ht="12.75" hidden="false" customHeight="false" outlineLevel="0" collapsed="false">
      <c r="A55" s="35" t="n">
        <v>45170</v>
      </c>
      <c r="B55" s="0" t="s">
        <v>65</v>
      </c>
      <c r="D55" s="39"/>
      <c r="E55" s="39"/>
      <c r="F55" s="39"/>
      <c r="G55" s="4"/>
      <c r="H55" s="4"/>
    </row>
    <row r="56" customFormat="false" ht="12.75" hidden="false" customHeight="false" outlineLevel="0" collapsed="false">
      <c r="A56" s="35" t="n">
        <v>45174</v>
      </c>
      <c r="B56" s="0" t="s">
        <v>66</v>
      </c>
      <c r="D56" s="39"/>
      <c r="E56" s="39"/>
      <c r="F56" s="39"/>
      <c r="G56" s="4"/>
      <c r="H56" s="4"/>
    </row>
    <row r="57" customFormat="false" ht="12.75" hidden="false" customHeight="false" outlineLevel="0" collapsed="false">
      <c r="A57" s="35"/>
      <c r="B57" s="0" t="s">
        <v>67</v>
      </c>
      <c r="D57" s="39"/>
      <c r="E57" s="39"/>
      <c r="F57" s="39"/>
      <c r="G57" s="4"/>
      <c r="H57" s="4"/>
    </row>
    <row r="58" customFormat="false" ht="12.75" hidden="false" customHeight="false" outlineLevel="0" collapsed="false">
      <c r="A58" s="35"/>
      <c r="B58" s="0" t="s">
        <v>68</v>
      </c>
      <c r="D58" s="39"/>
      <c r="E58" s="39"/>
      <c r="F58" s="39"/>
      <c r="G58" s="4"/>
      <c r="H58" s="4"/>
    </row>
    <row r="59" customFormat="false" ht="12.75" hidden="false" customHeight="false" outlineLevel="0" collapsed="false">
      <c r="A59" s="35"/>
      <c r="B59" s="0" t="s">
        <v>69</v>
      </c>
      <c r="D59" s="39"/>
      <c r="E59" s="39"/>
      <c r="F59" s="39"/>
      <c r="G59" s="4"/>
      <c r="H59" s="4"/>
    </row>
    <row r="60" customFormat="false" ht="12.75" hidden="false" customHeight="false" outlineLevel="0" collapsed="false">
      <c r="A60" s="35"/>
      <c r="B60" s="0" t="s">
        <v>70</v>
      </c>
      <c r="D60" s="39"/>
      <c r="E60" s="39"/>
      <c r="F60" s="39"/>
      <c r="G60" s="4"/>
      <c r="H60" s="4"/>
    </row>
    <row r="61" customFormat="false" ht="12.75" hidden="false" customHeight="false" outlineLevel="0" collapsed="false">
      <c r="A61" s="35"/>
      <c r="B61" s="0" t="s">
        <v>71</v>
      </c>
      <c r="D61" s="39"/>
      <c r="E61" s="39"/>
      <c r="F61" s="39"/>
      <c r="G61" s="4"/>
      <c r="H61" s="4"/>
    </row>
    <row r="62" customFormat="false" ht="12.75" hidden="false" customHeight="false" outlineLevel="0" collapsed="false">
      <c r="A62" s="35"/>
      <c r="B62" s="0" t="s">
        <v>72</v>
      </c>
      <c r="D62" s="39"/>
      <c r="E62" s="39"/>
      <c r="F62" s="39"/>
      <c r="G62" s="4"/>
      <c r="H62" s="4"/>
    </row>
    <row r="63" customFormat="false" ht="12.75" hidden="false" customHeight="false" outlineLevel="0" collapsed="false">
      <c r="A63" s="35" t="n">
        <v>45196</v>
      </c>
      <c r="B63" s="0" t="s">
        <v>73</v>
      </c>
      <c r="D63" s="39"/>
      <c r="E63" s="39"/>
      <c r="F63" s="39"/>
      <c r="G63" s="4"/>
      <c r="H63" s="4"/>
    </row>
    <row r="64" customFormat="false" ht="12.75" hidden="false" customHeight="false" outlineLevel="0" collapsed="false">
      <c r="A64" s="35"/>
      <c r="B64" s="0" t="s">
        <v>74</v>
      </c>
      <c r="D64" s="39"/>
      <c r="E64" s="39"/>
      <c r="F64" s="39"/>
      <c r="G64" s="4"/>
      <c r="H64" s="4"/>
    </row>
    <row r="65" customFormat="false" ht="12.75" hidden="false" customHeight="false" outlineLevel="0" collapsed="false">
      <c r="A65" s="9" t="n">
        <v>45196</v>
      </c>
      <c r="B65" s="0" t="s">
        <v>75</v>
      </c>
      <c r="F65" s="4"/>
    </row>
    <row r="66" customFormat="false" ht="12.75" hidden="false" customHeight="false" outlineLevel="0" collapsed="false">
      <c r="F66" s="4"/>
    </row>
    <row r="67" customFormat="false" ht="12.75" hidden="false" customHeight="false" outlineLevel="0" collapsed="false">
      <c r="B67" s="4"/>
      <c r="C67" s="4"/>
      <c r="F67" s="53"/>
    </row>
    <row r="68" customFormat="false" ht="12.75" hidden="false" customHeight="false" outlineLevel="0" collapsed="false">
      <c r="B68" s="4"/>
      <c r="C68" s="4"/>
      <c r="D68" s="11"/>
      <c r="F68" s="11"/>
    </row>
    <row r="69" customFormat="false" ht="12.75" hidden="false" customHeight="false" outlineLevel="0" collapsed="false">
      <c r="B69" s="4"/>
      <c r="C69" s="4"/>
      <c r="D69" s="11"/>
      <c r="F69" s="11"/>
    </row>
    <row r="70" customFormat="false" ht="12.75" hidden="false" customHeight="false" outlineLevel="0" collapsed="false">
      <c r="B70" s="4"/>
      <c r="C70" s="4"/>
      <c r="F70" s="10"/>
      <c r="G70" s="54"/>
      <c r="H70" s="11"/>
    </row>
    <row r="71" customFormat="false" ht="12.75" hidden="false" customHeight="false" outlineLevel="0" collapsed="false">
      <c r="B71" s="10"/>
      <c r="C71" s="10"/>
      <c r="E71" s="11"/>
      <c r="F71" s="4"/>
      <c r="G71" s="4"/>
      <c r="H71" s="4"/>
    </row>
    <row r="72" customFormat="false" ht="12.75" hidden="false" customHeight="false" outlineLevel="0" collapsed="false">
      <c r="B72" s="10" t="s">
        <v>76</v>
      </c>
      <c r="C72" s="10"/>
      <c r="D72" s="11" t="s">
        <v>77</v>
      </c>
      <c r="F72" s="4"/>
      <c r="G72" s="4"/>
      <c r="H72" s="4"/>
    </row>
    <row r="73" customFormat="false" ht="12.75" hidden="false" customHeight="false" outlineLevel="0" collapsed="false">
      <c r="B73" s="10"/>
      <c r="C73" s="10"/>
      <c r="F73" s="4"/>
      <c r="G73" s="4"/>
      <c r="H73" s="4"/>
    </row>
    <row r="74" customFormat="false" ht="12.75" hidden="false" customHeight="false" outlineLevel="0" collapsed="false">
      <c r="B74" s="55" t="s">
        <v>20</v>
      </c>
      <c r="C74" s="55"/>
      <c r="D74" s="29"/>
      <c r="F74" s="4"/>
      <c r="G74" s="4"/>
      <c r="H74" s="4"/>
    </row>
    <row r="75" customFormat="false" ht="12.75" hidden="false" customHeight="false" outlineLevel="0" collapsed="false">
      <c r="B75" s="56" t="s">
        <v>78</v>
      </c>
      <c r="C75" s="56"/>
      <c r="D75" s="20" t="n">
        <f aca="false">SUM(D85:D87)</f>
        <v>42000</v>
      </c>
      <c r="F75" s="4"/>
      <c r="G75" s="4"/>
      <c r="H75" s="4"/>
    </row>
    <row r="76" customFormat="false" ht="12.75" hidden="false" customHeight="false" outlineLevel="0" collapsed="false">
      <c r="B76" s="56" t="s">
        <v>79</v>
      </c>
      <c r="C76" s="56"/>
      <c r="D76" s="21" t="n">
        <f aca="false">SUM(E85:E87)</f>
        <v>40000</v>
      </c>
      <c r="F76" s="4"/>
      <c r="G76" s="4"/>
      <c r="H76" s="4"/>
    </row>
    <row r="77" customFormat="false" ht="12.75" hidden="false" customHeight="false" outlineLevel="0" collapsed="false">
      <c r="B77" s="56" t="s">
        <v>28</v>
      </c>
      <c r="C77" s="56"/>
      <c r="D77" s="57" t="n">
        <f aca="false">F87</f>
        <v>2000</v>
      </c>
      <c r="F77" s="4"/>
      <c r="G77" s="4"/>
      <c r="H77" s="4"/>
    </row>
    <row r="78" customFormat="false" ht="12.75" hidden="false" customHeight="false" outlineLevel="0" collapsed="false">
      <c r="B78" s="56" t="s">
        <v>80</v>
      </c>
      <c r="C78" s="56"/>
      <c r="D78" s="11" t="n">
        <f aca="false">E109</f>
        <v>0</v>
      </c>
      <c r="F78" s="4"/>
      <c r="G78" s="4"/>
      <c r="H78" s="4"/>
    </row>
    <row r="79" customFormat="false" ht="12.75" hidden="false" customHeight="false" outlineLevel="0" collapsed="false">
      <c r="B79" s="56" t="s">
        <v>5</v>
      </c>
      <c r="C79" s="56"/>
      <c r="D79" s="11" t="n">
        <v>0</v>
      </c>
      <c r="F79" s="4"/>
      <c r="G79" s="4"/>
      <c r="H79" s="4"/>
    </row>
    <row r="80" customFormat="false" ht="12.75" hidden="false" customHeight="false" outlineLevel="0" collapsed="false">
      <c r="B80" s="41" t="s">
        <v>81</v>
      </c>
      <c r="C80" s="41"/>
      <c r="D80" s="58" t="n">
        <f aca="false">D76-D78</f>
        <v>40000</v>
      </c>
      <c r="F80" s="4"/>
      <c r="G80" s="4"/>
      <c r="H80" s="4"/>
    </row>
    <row r="81" customFormat="false" ht="12.75" hidden="false" customHeight="false" outlineLevel="0" collapsed="false">
      <c r="B81" s="10" t="s">
        <v>82</v>
      </c>
      <c r="C81" s="10"/>
      <c r="F81" s="4"/>
      <c r="G81" s="4"/>
      <c r="H81" s="4"/>
    </row>
    <row r="82" customFormat="false" ht="12.75" hidden="false" customHeight="false" outlineLevel="0" collapsed="false">
      <c r="B82" s="0" t="s">
        <v>83</v>
      </c>
      <c r="F82" s="4"/>
      <c r="G82" s="4"/>
      <c r="H82" s="4"/>
    </row>
    <row r="83" customFormat="false" ht="12.75" hidden="false" customHeight="false" outlineLevel="0" collapsed="false">
      <c r="F83" s="4"/>
      <c r="G83" s="4"/>
      <c r="H83" s="4"/>
    </row>
    <row r="84" customFormat="false" ht="12.75" hidden="false" customHeight="false" outlineLevel="0" collapsed="false">
      <c r="F84" s="4"/>
      <c r="G84" s="4"/>
      <c r="H84" s="4"/>
    </row>
    <row r="85" customFormat="false" ht="12.75" hidden="false" customHeight="false" outlineLevel="0" collapsed="false">
      <c r="B85" s="0" t="s">
        <v>84</v>
      </c>
      <c r="F85" s="4"/>
      <c r="G85" s="4"/>
      <c r="H85" s="4"/>
    </row>
    <row r="86" customFormat="false" ht="12.75" hidden="false" customHeight="false" outlineLevel="0" collapsed="false">
      <c r="A86" s="9" t="n">
        <v>44885</v>
      </c>
      <c r="B86" s="0" t="s">
        <v>85</v>
      </c>
      <c r="D86" s="4" t="n">
        <v>42000</v>
      </c>
      <c r="E86" s="4" t="n">
        <v>40000</v>
      </c>
      <c r="F86" s="4" t="n">
        <f aca="false">F82+D86-E86</f>
        <v>2000</v>
      </c>
      <c r="G86" s="4"/>
      <c r="H86" s="4"/>
    </row>
    <row r="87" customFormat="false" ht="12.75" hidden="false" customHeight="false" outlineLevel="0" collapsed="false">
      <c r="F87" s="4" t="n">
        <f aca="false">F86+D87-E87</f>
        <v>2000</v>
      </c>
      <c r="G87" s="4"/>
      <c r="H87" s="4"/>
    </row>
    <row r="88" customFormat="false" ht="12.75" hidden="false" customHeight="false" outlineLevel="0" collapsed="false">
      <c r="F88" s="4"/>
      <c r="G88" s="4"/>
      <c r="H88" s="4"/>
    </row>
    <row r="89" customFormat="false" ht="12.75" hidden="false" customHeight="false" outlineLevel="0" collapsed="false">
      <c r="B89" s="0" t="s">
        <v>86</v>
      </c>
      <c r="F89" s="4"/>
      <c r="G89" s="4"/>
      <c r="H89" s="4"/>
    </row>
    <row r="90" customFormat="false" ht="12.75" hidden="false" customHeight="false" outlineLevel="0" collapsed="false">
      <c r="B90" s="0" t="s">
        <v>87</v>
      </c>
      <c r="F90" s="4"/>
      <c r="G90" s="4"/>
      <c r="H90" s="4"/>
    </row>
    <row r="91" customFormat="false" ht="12.75" hidden="false" customHeight="false" outlineLevel="0" collapsed="false">
      <c r="B91" s="10" t="s">
        <v>88</v>
      </c>
      <c r="C91" s="10"/>
      <c r="F91" s="11"/>
      <c r="G91" s="4"/>
      <c r="H91" s="4"/>
    </row>
    <row r="92" customFormat="false" ht="12.75" hidden="false" customHeight="false" outlineLevel="0" collapsed="false">
      <c r="B92" s="2" t="s">
        <v>89</v>
      </c>
      <c r="C92" s="2"/>
      <c r="F92" s="11"/>
      <c r="G92" s="4"/>
      <c r="H92" s="4"/>
    </row>
    <row r="93" customFormat="false" ht="12.75" hidden="false" customHeight="false" outlineLevel="0" collapsed="false">
      <c r="B93" s="10" t="s">
        <v>90</v>
      </c>
      <c r="C93" s="10"/>
      <c r="F93" s="11"/>
      <c r="G93" s="4"/>
      <c r="H93" s="4"/>
    </row>
    <row r="94" customFormat="false" ht="12.75" hidden="false" customHeight="false" outlineLevel="0" collapsed="false">
      <c r="B94" s="0" t="s">
        <v>91</v>
      </c>
      <c r="F94" s="11"/>
      <c r="G94" s="4"/>
      <c r="H94" s="4"/>
    </row>
    <row r="95" customFormat="false" ht="12.75" hidden="false" customHeight="false" outlineLevel="0" collapsed="false">
      <c r="B95" s="10" t="s">
        <v>92</v>
      </c>
      <c r="C95" s="10"/>
      <c r="F95" s="11"/>
      <c r="G95" s="4"/>
      <c r="H95" s="4"/>
    </row>
    <row r="96" customFormat="false" ht="12.75" hidden="false" customHeight="false" outlineLevel="0" collapsed="false">
      <c r="B96" s="4"/>
      <c r="C96" s="4"/>
      <c r="F96" s="4"/>
      <c r="G96" s="4"/>
      <c r="H96" s="4"/>
    </row>
    <row r="97" customFormat="false" ht="12.75" hidden="false" customHeight="false" outlineLevel="0" collapsed="false">
      <c r="A97" s="9" t="n">
        <v>45132</v>
      </c>
      <c r="B97" s="4" t="s">
        <v>93</v>
      </c>
      <c r="C97" s="4"/>
      <c r="F97" s="4"/>
      <c r="G97" s="4"/>
      <c r="H97" s="4"/>
    </row>
    <row r="98" customFormat="false" ht="12.75" hidden="false" customHeight="false" outlineLevel="0" collapsed="false">
      <c r="A98" s="9" t="n">
        <v>45137</v>
      </c>
      <c r="B98" s="4" t="s">
        <v>94</v>
      </c>
      <c r="C98" s="4"/>
      <c r="F98" s="4"/>
      <c r="G98" s="4"/>
      <c r="H98" s="4"/>
    </row>
    <row r="99" customFormat="false" ht="12.75" hidden="false" customHeight="false" outlineLevel="0" collapsed="false">
      <c r="A99" s="9" t="n">
        <v>45148</v>
      </c>
      <c r="B99" s="4" t="s">
        <v>95</v>
      </c>
      <c r="C99" s="4"/>
      <c r="F99" s="4"/>
      <c r="G99" s="4"/>
      <c r="H99" s="4"/>
    </row>
    <row r="100" customFormat="false" ht="12.75" hidden="false" customHeight="false" outlineLevel="0" collapsed="false">
      <c r="A100" s="9" t="n">
        <v>45160</v>
      </c>
      <c r="B100" s="4" t="s">
        <v>96</v>
      </c>
      <c r="C100" s="4"/>
      <c r="F100" s="4"/>
      <c r="G100" s="4"/>
      <c r="H100" s="4"/>
    </row>
    <row r="101" customFormat="false" ht="12.75" hidden="false" customHeight="false" outlineLevel="0" collapsed="false">
      <c r="B101" s="4" t="s">
        <v>97</v>
      </c>
      <c r="C101" s="4"/>
      <c r="F101" s="4"/>
      <c r="G101" s="4"/>
      <c r="H101" s="4"/>
    </row>
    <row r="102" customFormat="false" ht="12.75" hidden="false" customHeight="false" outlineLevel="0" collapsed="false">
      <c r="B102" s="4" t="s">
        <v>98</v>
      </c>
      <c r="C102" s="4"/>
      <c r="F102" s="4"/>
      <c r="G102" s="4"/>
      <c r="H102" s="4"/>
    </row>
    <row r="103" customFormat="false" ht="12.75" hidden="false" customHeight="false" outlineLevel="0" collapsed="false">
      <c r="B103" s="4" t="s">
        <v>99</v>
      </c>
      <c r="C103" s="4"/>
      <c r="F103" s="4"/>
      <c r="G103" s="4"/>
      <c r="H103" s="4"/>
    </row>
    <row r="104" customFormat="false" ht="12.75" hidden="false" customHeight="false" outlineLevel="0" collapsed="false">
      <c r="B104" s="4" t="s">
        <v>100</v>
      </c>
      <c r="C104" s="4"/>
      <c r="F104" s="4"/>
      <c r="G104" s="4"/>
      <c r="H104" s="4"/>
    </row>
    <row r="105" customFormat="false" ht="12.75" hidden="false" customHeight="false" outlineLevel="0" collapsed="false">
      <c r="B105" s="4" t="s">
        <v>101</v>
      </c>
      <c r="C105" s="4"/>
      <c r="F105" s="4"/>
      <c r="G105" s="4"/>
      <c r="H105" s="4"/>
    </row>
    <row r="106" customFormat="false" ht="12.75" hidden="false" customHeight="false" outlineLevel="0" collapsed="false">
      <c r="B106" s="4" t="s">
        <v>102</v>
      </c>
      <c r="C106" s="4"/>
      <c r="F106" s="4"/>
      <c r="G106" s="4"/>
      <c r="H106" s="4"/>
    </row>
    <row r="107" customFormat="false" ht="12.75" hidden="false" customHeight="false" outlineLevel="0" collapsed="false">
      <c r="A107" s="9" t="n">
        <v>45167</v>
      </c>
      <c r="B107" s="4" t="s">
        <v>103</v>
      </c>
      <c r="C107" s="4"/>
      <c r="F107" s="4"/>
      <c r="G107" s="4"/>
      <c r="H107" s="4"/>
    </row>
    <row r="108" customFormat="false" ht="12.75" hidden="false" customHeight="false" outlineLevel="0" collapsed="false">
      <c r="B108" s="4" t="s">
        <v>104</v>
      </c>
      <c r="C108" s="4"/>
      <c r="F108" s="4"/>
      <c r="G108" s="4"/>
      <c r="H108" s="4"/>
    </row>
    <row r="109" customFormat="false" ht="12.75" hidden="false" customHeight="false" outlineLevel="0" collapsed="false">
      <c r="B109" s="4" t="s">
        <v>105</v>
      </c>
      <c r="C109" s="4"/>
      <c r="F109" s="4"/>
      <c r="G109" s="4"/>
      <c r="H109" s="4"/>
    </row>
    <row r="110" customFormat="false" ht="12.75" hidden="false" customHeight="false" outlineLevel="0" collapsed="false">
      <c r="B110" s="4" t="s">
        <v>106</v>
      </c>
      <c r="C110" s="4"/>
    </row>
  </sheetData>
  <printOptions headings="false" gridLines="false" gridLinesSet="true" horizontalCentered="false" verticalCentered="false"/>
  <pageMargins left="0.39375" right="0.236111111111111" top="0.709027777777778" bottom="0.70625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8"/>
  <sheetViews>
    <sheetView showFormulas="false" showGridLines="true" showRowColHeaders="true" showZeros="true" rightToLeft="false" tabSelected="false" showOutlineSymbols="true" defaultGridColor="true" view="normal" topLeftCell="A43" colorId="64" zoomScale="140" zoomScaleNormal="140" zoomScalePageLayoutView="100" workbookViewId="0">
      <selection pane="topLeft" activeCell="B52" activeCellId="1" sqref="F84:F86 B52"/>
    </sheetView>
  </sheetViews>
  <sheetFormatPr defaultColWidth="8.66015625" defaultRowHeight="12.75" customHeight="false" zeroHeight="false" outlineLevelRow="0" outlineLevelCol="0"/>
  <cols>
    <col collapsed="false" customWidth="true" hidden="false" outlineLevel="0" max="1" min="1" style="9" width="9.43"/>
    <col collapsed="false" customWidth="true" hidden="false" outlineLevel="0" max="2" min="2" style="0" width="23.14"/>
    <col collapsed="false" customWidth="true" hidden="false" outlineLevel="0" max="3" min="3" style="0" width="7.43"/>
    <col collapsed="false" customWidth="true" hidden="false" outlineLevel="0" max="4" min="4" style="0" width="12.14"/>
    <col collapsed="false" customWidth="true" hidden="false" outlineLevel="0" max="5" min="5" style="4" width="12.14"/>
    <col collapsed="false" customWidth="true" hidden="false" outlineLevel="0" max="8" min="6" style="0" width="12.14"/>
    <col collapsed="false" customWidth="true" hidden="false" outlineLevel="0" max="9" min="9" style="0" width="9.14"/>
  </cols>
  <sheetData>
    <row r="1" customFormat="false" ht="12.75" hidden="false" customHeight="false" outlineLevel="0" collapsed="false">
      <c r="B1" s="10" t="s">
        <v>107</v>
      </c>
      <c r="C1" s="10"/>
      <c r="D1" s="11" t="s">
        <v>108</v>
      </c>
      <c r="F1" s="4"/>
      <c r="G1" s="4"/>
      <c r="H1" s="4"/>
    </row>
    <row r="2" customFormat="false" ht="12.75" hidden="false" customHeight="false" outlineLevel="0" collapsed="false">
      <c r="B2" s="10"/>
      <c r="C2" s="10"/>
      <c r="D2" s="4"/>
      <c r="F2" s="4"/>
      <c r="G2" s="4"/>
      <c r="H2" s="4"/>
    </row>
    <row r="3" customFormat="false" ht="12.75" hidden="false" customHeight="false" outlineLevel="0" collapsed="false">
      <c r="A3" s="13" t="s">
        <v>25</v>
      </c>
      <c r="B3" s="14" t="s">
        <v>26</v>
      </c>
      <c r="C3" s="14"/>
      <c r="D3" s="16" t="s">
        <v>27</v>
      </c>
      <c r="E3" s="16" t="s">
        <v>3</v>
      </c>
      <c r="F3" s="16" t="s">
        <v>28</v>
      </c>
      <c r="G3" s="4"/>
      <c r="H3" s="4"/>
    </row>
    <row r="4" customFormat="false" ht="12.75" hidden="false" customHeight="false" outlineLevel="0" collapsed="false">
      <c r="B4" s="17" t="s">
        <v>20</v>
      </c>
      <c r="C4" s="23"/>
      <c r="D4" s="20" t="n">
        <f aca="false">SUM(D9:D20)</f>
        <v>353664</v>
      </c>
      <c r="E4" s="21" t="n">
        <f aca="false">SUM(E9:E20)</f>
        <v>290000</v>
      </c>
      <c r="F4" s="22" t="n">
        <f aca="false">F20</f>
        <v>63664</v>
      </c>
      <c r="G4" s="4"/>
      <c r="H4" s="4"/>
    </row>
    <row r="5" customFormat="false" ht="12.75" hidden="false" customHeight="false" outlineLevel="0" collapsed="false">
      <c r="B5" s="23" t="s">
        <v>29</v>
      </c>
      <c r="C5" s="23"/>
      <c r="D5" s="24" t="n">
        <f aca="false">F42</f>
        <v>0</v>
      </c>
      <c r="G5" s="4"/>
      <c r="H5" s="4"/>
    </row>
    <row r="6" customFormat="false" ht="12.75" hidden="false" customHeight="false" outlineLevel="0" collapsed="false">
      <c r="B6" s="23" t="s">
        <v>5</v>
      </c>
      <c r="D6" s="25" t="n">
        <f aca="false">F39</f>
        <v>-1225.58</v>
      </c>
      <c r="E6" s="23"/>
      <c r="F6" s="12"/>
      <c r="G6" s="4"/>
      <c r="H6" s="4"/>
    </row>
    <row r="7" customFormat="false" ht="12.75" hidden="false" customHeight="false" outlineLevel="0" collapsed="false">
      <c r="A7" s="26"/>
      <c r="B7" s="27"/>
      <c r="C7" s="30"/>
      <c r="D7" s="27"/>
      <c r="E7" s="30" t="s">
        <v>30</v>
      </c>
      <c r="F7" s="31" t="n">
        <f aca="false">E4-D5</f>
        <v>290000</v>
      </c>
      <c r="G7" s="4"/>
      <c r="H7" s="4"/>
    </row>
    <row r="8" customFormat="false" ht="12.75" hidden="false" customHeight="false" outlineLevel="0" collapsed="false">
      <c r="B8" s="23" t="s">
        <v>31</v>
      </c>
      <c r="F8" s="4"/>
      <c r="G8" s="4"/>
      <c r="H8" s="4"/>
    </row>
    <row r="9" customFormat="false" ht="12.75" hidden="false" customHeight="false" outlineLevel="0" collapsed="false">
      <c r="A9" s="40" t="s">
        <v>109</v>
      </c>
      <c r="B9" s="23" t="s">
        <v>110</v>
      </c>
      <c r="D9" s="59"/>
      <c r="E9" s="33"/>
      <c r="F9" s="4" t="n">
        <f aca="false">D9-E9</f>
        <v>0</v>
      </c>
    </row>
    <row r="10" customFormat="false" ht="12.75" hidden="false" customHeight="false" outlineLevel="0" collapsed="false">
      <c r="B10" s="23" t="s">
        <v>111</v>
      </c>
      <c r="D10" s="59" t="n">
        <v>353664</v>
      </c>
      <c r="E10" s="33"/>
      <c r="F10" s="4" t="n">
        <f aca="false">D10-E10+F9</f>
        <v>353664</v>
      </c>
    </row>
    <row r="11" customFormat="false" ht="12.75" hidden="false" customHeight="false" outlineLevel="0" collapsed="false">
      <c r="B11" s="23" t="s">
        <v>112</v>
      </c>
      <c r="D11" s="59"/>
      <c r="E11" s="33" t="n">
        <v>290000</v>
      </c>
      <c r="F11" s="4" t="n">
        <f aca="false">D11-E11+F10</f>
        <v>63664</v>
      </c>
    </row>
    <row r="12" customFormat="false" ht="12.75" hidden="false" customHeight="false" outlineLevel="0" collapsed="false">
      <c r="B12" s="60"/>
      <c r="D12" s="59"/>
      <c r="E12" s="33"/>
      <c r="F12" s="4" t="n">
        <f aca="false">D12-E12+F11</f>
        <v>63664</v>
      </c>
    </row>
    <row r="13" customFormat="false" ht="12.75" hidden="false" customHeight="false" outlineLevel="0" collapsed="false">
      <c r="D13" s="59"/>
      <c r="E13" s="33"/>
      <c r="F13" s="4" t="n">
        <f aca="false">D13-E13+F12</f>
        <v>63664</v>
      </c>
    </row>
    <row r="14" customFormat="false" ht="13.8" hidden="false" customHeight="false" outlineLevel="0" collapsed="false">
      <c r="A14" s="35"/>
      <c r="B14" s="34" t="n">
        <v>45739</v>
      </c>
      <c r="D14" s="36"/>
      <c r="E14" s="37"/>
      <c r="F14" s="4" t="n">
        <f aca="false">D14-E14+F13</f>
        <v>63664</v>
      </c>
    </row>
    <row r="15" customFormat="false" ht="12.75" hidden="false" customHeight="false" outlineLevel="0" collapsed="false">
      <c r="A15" s="35"/>
      <c r="D15" s="36"/>
      <c r="E15" s="37"/>
      <c r="F15" s="4" t="n">
        <f aca="false">D15-E15+F14</f>
        <v>63664</v>
      </c>
    </row>
    <row r="16" customFormat="false" ht="12.75" hidden="false" customHeight="false" outlineLevel="0" collapsed="false">
      <c r="A16" s="35"/>
      <c r="D16" s="36"/>
      <c r="E16" s="37"/>
      <c r="F16" s="4" t="n">
        <f aca="false">D16-E16+F15</f>
        <v>63664</v>
      </c>
    </row>
    <row r="17" customFormat="false" ht="12.75" hidden="false" customHeight="false" outlineLevel="0" collapsed="false">
      <c r="A17" s="35"/>
      <c r="D17" s="36"/>
      <c r="E17" s="37"/>
      <c r="F17" s="4" t="n">
        <f aca="false">D17-E17+F16</f>
        <v>63664</v>
      </c>
    </row>
    <row r="18" customFormat="false" ht="12.75" hidden="false" customHeight="false" outlineLevel="0" collapsed="false">
      <c r="A18" s="35"/>
      <c r="D18" s="36"/>
      <c r="E18" s="37"/>
      <c r="F18" s="4" t="n">
        <f aca="false">D18-E18+F17</f>
        <v>63664</v>
      </c>
    </row>
    <row r="19" customFormat="false" ht="12.75" hidden="false" customHeight="false" outlineLevel="0" collapsed="false">
      <c r="A19" s="35"/>
      <c r="D19" s="36"/>
      <c r="E19" s="37"/>
      <c r="F19" s="4" t="n">
        <f aca="false">D19-E19+F18</f>
        <v>63664</v>
      </c>
    </row>
    <row r="20" customFormat="false" ht="12.75" hidden="false" customHeight="false" outlineLevel="0" collapsed="false">
      <c r="A20" s="35"/>
      <c r="D20" s="36"/>
      <c r="E20" s="37"/>
      <c r="F20" s="38" t="n">
        <f aca="false">D20-E20+F19</f>
        <v>63664</v>
      </c>
    </row>
    <row r="21" customFormat="false" ht="12.75" hidden="false" customHeight="false" outlineLevel="0" collapsed="false">
      <c r="A21" s="61" t="s">
        <v>113</v>
      </c>
      <c r="B21" s="61" t="s">
        <v>114</v>
      </c>
      <c r="C21" s="62"/>
      <c r="D21" s="62" t="n">
        <v>24000</v>
      </c>
      <c r="E21" s="62"/>
      <c r="F21" s="63"/>
      <c r="G21" s="63"/>
      <c r="H21" s="64"/>
      <c r="I21" s="65"/>
      <c r="J21" s="65"/>
      <c r="K21" s="65"/>
      <c r="L21" s="65"/>
      <c r="M21" s="65"/>
      <c r="N21" s="65"/>
      <c r="O21" s="65"/>
      <c r="P21" s="65"/>
      <c r="Q21" s="65"/>
      <c r="R21" s="65"/>
    </row>
    <row r="22" customFormat="false" ht="12.75" hidden="false" customHeight="false" outlineLevel="0" collapsed="false">
      <c r="A22" s="61"/>
      <c r="B22" s="66" t="s">
        <v>115</v>
      </c>
      <c r="C22" s="62"/>
      <c r="D22" s="62"/>
      <c r="E22" s="62"/>
      <c r="F22" s="63"/>
      <c r="G22" s="63"/>
      <c r="H22" s="64"/>
      <c r="I22" s="64"/>
      <c r="J22" s="65"/>
      <c r="K22" s="65"/>
      <c r="L22" s="65"/>
      <c r="M22" s="65"/>
      <c r="N22" s="65"/>
      <c r="O22" s="65"/>
      <c r="P22" s="65"/>
      <c r="Q22" s="65"/>
      <c r="R22" s="65"/>
    </row>
    <row r="23" customFormat="false" ht="12.75" hidden="false" customHeight="false" outlineLevel="0" collapsed="false">
      <c r="A23" s="61"/>
      <c r="B23" s="67" t="s">
        <v>116</v>
      </c>
      <c r="C23" s="62"/>
      <c r="D23" s="62"/>
      <c r="E23" s="62"/>
      <c r="F23" s="63"/>
      <c r="G23" s="63"/>
      <c r="H23" s="64"/>
      <c r="I23" s="64"/>
      <c r="J23" s="65"/>
      <c r="K23" s="65"/>
      <c r="L23" s="65"/>
      <c r="M23" s="65"/>
      <c r="N23" s="65"/>
      <c r="O23" s="65"/>
      <c r="P23" s="65"/>
      <c r="Q23" s="65"/>
      <c r="R23" s="65"/>
    </row>
    <row r="24" customFormat="false" ht="12.75" hidden="false" customHeight="false" outlineLevel="0" collapsed="false">
      <c r="A24" s="35"/>
      <c r="D24" s="39"/>
      <c r="E24" s="19"/>
      <c r="F24" s="19"/>
    </row>
    <row r="25" customFormat="false" ht="12.75" hidden="false" customHeight="false" outlineLevel="0" collapsed="false">
      <c r="A25" s="40" t="s">
        <v>36</v>
      </c>
      <c r="B25" s="27" t="s">
        <v>117</v>
      </c>
      <c r="C25" s="27" t="s">
        <v>118</v>
      </c>
      <c r="D25" s="41" t="s">
        <v>39</v>
      </c>
      <c r="E25" s="28"/>
      <c r="F25" s="28" t="n">
        <v>1600</v>
      </c>
    </row>
    <row r="26" customFormat="false" ht="12.75" hidden="false" customHeight="false" outlineLevel="0" collapsed="false">
      <c r="A26" s="35"/>
      <c r="B26" s="0" t="s">
        <v>41</v>
      </c>
      <c r="D26" s="39"/>
      <c r="E26" s="19"/>
      <c r="F26" s="19" t="n">
        <v>-1000.12</v>
      </c>
    </row>
    <row r="27" customFormat="false" ht="12.75" hidden="false" customHeight="false" outlineLevel="0" collapsed="false">
      <c r="A27" s="35"/>
      <c r="B27" s="0" t="s">
        <v>119</v>
      </c>
      <c r="C27" s="0" t="n">
        <v>0</v>
      </c>
      <c r="D27" s="19" t="n">
        <v>900.36</v>
      </c>
      <c r="E27" s="19" t="n">
        <v>999.4</v>
      </c>
      <c r="F27" s="19" t="n">
        <f aca="false">D27-E27+F26</f>
        <v>-1099.16</v>
      </c>
      <c r="G27" s="4"/>
    </row>
    <row r="28" customFormat="false" ht="12.75" hidden="false" customHeight="false" outlineLevel="0" collapsed="false">
      <c r="A28" s="35"/>
      <c r="B28" s="0" t="s">
        <v>120</v>
      </c>
      <c r="C28" s="0" t="n">
        <v>0</v>
      </c>
      <c r="D28" s="19" t="n">
        <v>841.46</v>
      </c>
      <c r="E28" s="19" t="n">
        <v>967.88</v>
      </c>
      <c r="F28" s="19" t="n">
        <f aca="false">D28-E28+F27</f>
        <v>-1225.58</v>
      </c>
      <c r="G28" s="4"/>
    </row>
    <row r="29" customFormat="false" ht="12.75" hidden="false" customHeight="false" outlineLevel="0" collapsed="false">
      <c r="A29" s="35"/>
      <c r="B29" s="0" t="s">
        <v>121</v>
      </c>
      <c r="D29" s="19"/>
      <c r="E29" s="19"/>
      <c r="F29" s="19" t="n">
        <f aca="false">D29-E29+F28</f>
        <v>-1225.58</v>
      </c>
      <c r="G29" s="4"/>
    </row>
    <row r="30" customFormat="false" ht="12.75" hidden="false" customHeight="false" outlineLevel="0" collapsed="false">
      <c r="A30" s="35"/>
      <c r="B30" s="0" t="s">
        <v>122</v>
      </c>
      <c r="D30" s="19"/>
      <c r="E30" s="19"/>
      <c r="F30" s="19" t="n">
        <f aca="false">D30-E30+F29</f>
        <v>-1225.58</v>
      </c>
      <c r="G30" s="4"/>
    </row>
    <row r="31" customFormat="false" ht="12.75" hidden="false" customHeight="false" outlineLevel="0" collapsed="false">
      <c r="A31" s="35"/>
      <c r="B31" s="0" t="s">
        <v>123</v>
      </c>
      <c r="D31" s="19"/>
      <c r="E31" s="19"/>
      <c r="F31" s="19" t="n">
        <f aca="false">D31-E31+F30</f>
        <v>-1225.58</v>
      </c>
      <c r="G31" s="4"/>
    </row>
    <row r="32" customFormat="false" ht="12.75" hidden="false" customHeight="false" outlineLevel="0" collapsed="false">
      <c r="A32" s="35"/>
      <c r="B32" s="0" t="s">
        <v>124</v>
      </c>
      <c r="D32" s="19"/>
      <c r="E32" s="19"/>
      <c r="F32" s="19" t="n">
        <f aca="false">D32-E32+F31</f>
        <v>-1225.58</v>
      </c>
      <c r="G32" s="4"/>
    </row>
    <row r="33" customFormat="false" ht="12.75" hidden="false" customHeight="false" outlineLevel="0" collapsed="false">
      <c r="A33" s="35"/>
      <c r="B33" s="0" t="s">
        <v>125</v>
      </c>
      <c r="D33" s="19"/>
      <c r="E33" s="19"/>
      <c r="F33" s="19" t="n">
        <f aca="false">D33-E33+F32</f>
        <v>-1225.58</v>
      </c>
      <c r="G33" s="4"/>
    </row>
    <row r="34" customFormat="false" ht="12.75" hidden="false" customHeight="false" outlineLevel="0" collapsed="false">
      <c r="A34" s="35"/>
      <c r="B34" s="0" t="s">
        <v>126</v>
      </c>
      <c r="D34" s="19"/>
      <c r="E34" s="19"/>
      <c r="F34" s="19" t="n">
        <f aca="false">D34-E34+F33</f>
        <v>-1225.58</v>
      </c>
      <c r="G34" s="4"/>
    </row>
    <row r="35" customFormat="false" ht="12.75" hidden="false" customHeight="false" outlineLevel="0" collapsed="false">
      <c r="A35" s="35"/>
      <c r="B35" s="0" t="s">
        <v>127</v>
      </c>
      <c r="D35" s="39"/>
      <c r="E35" s="19"/>
      <c r="F35" s="19" t="n">
        <f aca="false">D35-E35+F34</f>
        <v>-1225.58</v>
      </c>
      <c r="G35" s="4"/>
    </row>
    <row r="36" customFormat="false" ht="12.75" hidden="false" customHeight="false" outlineLevel="0" collapsed="false">
      <c r="A36" s="35"/>
      <c r="B36" s="0" t="s">
        <v>128</v>
      </c>
      <c r="D36" s="39"/>
      <c r="E36" s="19"/>
      <c r="F36" s="19" t="n">
        <f aca="false">D36-E36+F35</f>
        <v>-1225.58</v>
      </c>
      <c r="G36" s="4"/>
    </row>
    <row r="37" customFormat="false" ht="12.75" hidden="false" customHeight="false" outlineLevel="0" collapsed="false">
      <c r="A37" s="35"/>
      <c r="B37" s="0" t="s">
        <v>129</v>
      </c>
      <c r="D37" s="39"/>
      <c r="E37" s="19"/>
      <c r="F37" s="19" t="n">
        <f aca="false">D37-E37+F36</f>
        <v>-1225.58</v>
      </c>
      <c r="G37" s="4"/>
    </row>
    <row r="38" customFormat="false" ht="12.75" hidden="false" customHeight="false" outlineLevel="0" collapsed="false">
      <c r="A38" s="40"/>
      <c r="B38" s="27" t="s">
        <v>130</v>
      </c>
      <c r="C38" s="27"/>
      <c r="D38" s="41"/>
      <c r="E38" s="28"/>
      <c r="F38" s="28" t="n">
        <f aca="false">D38-E38+F37</f>
        <v>-1225.58</v>
      </c>
      <c r="G38" s="4"/>
    </row>
    <row r="39" customFormat="false" ht="12.75" hidden="false" customHeight="false" outlineLevel="0" collapsed="false">
      <c r="A39" s="42" t="n">
        <v>45291</v>
      </c>
      <c r="B39" s="43" t="s">
        <v>41</v>
      </c>
      <c r="C39" s="43" t="n">
        <f aca="false">SUM(C27:C38)</f>
        <v>0</v>
      </c>
      <c r="D39" s="45"/>
      <c r="E39" s="46"/>
      <c r="F39" s="47" t="n">
        <f aca="false">D39-E39+F38</f>
        <v>-1225.58</v>
      </c>
    </row>
    <row r="40" customFormat="false" ht="12.75" hidden="false" customHeight="false" outlineLevel="0" collapsed="false">
      <c r="A40" s="35"/>
      <c r="D40" s="39"/>
      <c r="E40" s="39"/>
      <c r="F40" s="39" t="s">
        <v>131</v>
      </c>
    </row>
    <row r="41" customFormat="false" ht="12.75" hidden="false" customHeight="false" outlineLevel="0" collapsed="false">
      <c r="D41" s="4"/>
      <c r="F41" s="4"/>
    </row>
    <row r="42" customFormat="false" ht="12.75" hidden="false" customHeight="false" outlineLevel="0" collapsed="false">
      <c r="A42" s="48" t="s">
        <v>132</v>
      </c>
      <c r="B42" s="49" t="s">
        <v>58</v>
      </c>
      <c r="C42" s="49"/>
      <c r="D42" s="68"/>
      <c r="E42" s="29"/>
      <c r="F42" s="52" t="n">
        <f aca="false">SUM(F43:F44)</f>
        <v>0</v>
      </c>
    </row>
    <row r="43" customFormat="false" ht="12.75" hidden="false" customHeight="false" outlineLevel="0" collapsed="false">
      <c r="B43" s="10"/>
      <c r="C43" s="10"/>
    </row>
    <row r="44" customFormat="false" ht="12.75" hidden="false" customHeight="false" outlineLevel="0" collapsed="false">
      <c r="F44" s="4"/>
    </row>
    <row r="45" customFormat="false" ht="12.75" hidden="false" customHeight="false" outlineLevel="0" collapsed="false">
      <c r="F45" s="4"/>
    </row>
    <row r="46" customFormat="false" ht="12.75" hidden="false" customHeight="false" outlineLevel="0" collapsed="false">
      <c r="A46" s="69"/>
      <c r="B46" s="67" t="s">
        <v>133</v>
      </c>
      <c r="C46" s="70"/>
      <c r="D46" s="71"/>
      <c r="E46" s="70"/>
      <c r="F46" s="70"/>
    </row>
    <row r="47" customFormat="false" ht="12.75" hidden="false" customHeight="false" outlineLevel="0" collapsed="false">
      <c r="B47" s="0" t="s">
        <v>134</v>
      </c>
      <c r="C47" s="4"/>
      <c r="D47" s="10"/>
      <c r="F47" s="4"/>
    </row>
    <row r="48" customFormat="false" ht="12.75" hidden="false" customHeight="false" outlineLevel="0" collapsed="false">
      <c r="B48" s="29" t="s">
        <v>135</v>
      </c>
      <c r="C48" s="29"/>
      <c r="D48" s="29" t="n">
        <f aca="false">E49</f>
        <v>353664</v>
      </c>
      <c r="F48" s="4"/>
    </row>
    <row r="49" customFormat="false" ht="12.75" hidden="false" customHeight="false" outlineLevel="0" collapsed="false">
      <c r="B49" s="0" t="s">
        <v>136</v>
      </c>
      <c r="C49" s="0" t="n">
        <v>16</v>
      </c>
      <c r="D49" s="0" t="n">
        <v>22104</v>
      </c>
      <c r="E49" s="4" t="n">
        <f aca="false">D49*C49</f>
        <v>353664</v>
      </c>
      <c r="F49" s="53"/>
    </row>
    <row r="50" customFormat="false" ht="12.75" hidden="false" customHeight="false" outlineLevel="0" collapsed="false">
      <c r="B50" s="4" t="s">
        <v>137</v>
      </c>
      <c r="C50" s="4"/>
      <c r="D50" s="10"/>
      <c r="F50" s="11"/>
    </row>
    <row r="51" customFormat="false" ht="12.75" hidden="false" customHeight="false" outlineLevel="0" collapsed="false">
      <c r="B51" s="4" t="s">
        <v>138</v>
      </c>
      <c r="C51" s="4"/>
      <c r="D51" s="10"/>
      <c r="E51" s="70" t="n">
        <v>290000</v>
      </c>
      <c r="F51" s="11"/>
    </row>
    <row r="52" customFormat="false" ht="12.75" hidden="false" customHeight="false" outlineLevel="0" collapsed="false">
      <c r="B52" s="4" t="s">
        <v>139</v>
      </c>
      <c r="C52" s="4"/>
      <c r="D52" s="10"/>
      <c r="F52" s="11"/>
    </row>
    <row r="53" customFormat="false" ht="12.75" hidden="false" customHeight="false" outlineLevel="0" collapsed="false">
      <c r="B53" s="4"/>
      <c r="C53" s="4"/>
      <c r="D53" s="10"/>
      <c r="F53" s="11"/>
    </row>
    <row r="54" customFormat="false" ht="12.75" hidden="false" customHeight="false" outlineLevel="0" collapsed="false">
      <c r="B54" s="4"/>
      <c r="C54" s="4"/>
      <c r="D54" s="10"/>
      <c r="F54" s="11"/>
    </row>
    <row r="55" customFormat="false" ht="12.75" hidden="false" customHeight="false" outlineLevel="0" collapsed="false">
      <c r="B55" s="4"/>
      <c r="C55" s="4"/>
      <c r="D55" s="10"/>
      <c r="F55" s="11"/>
    </row>
    <row r="56" customFormat="false" ht="12.75" hidden="false" customHeight="false" outlineLevel="0" collapsed="false">
      <c r="A56" s="69"/>
      <c r="B56" s="67" t="s">
        <v>140</v>
      </c>
      <c r="C56" s="70"/>
      <c r="D56" s="71"/>
      <c r="E56" s="70"/>
      <c r="F56" s="57"/>
    </row>
    <row r="57" customFormat="false" ht="12.75" hidden="false" customHeight="false" outlineLevel="0" collapsed="false">
      <c r="B57" s="0" t="s">
        <v>141</v>
      </c>
      <c r="C57" s="4"/>
      <c r="D57" s="10"/>
      <c r="F57" s="10"/>
      <c r="G57" s="54"/>
      <c r="H57" s="72"/>
    </row>
    <row r="58" customFormat="false" ht="12.75" hidden="false" customHeight="false" outlineLevel="0" collapsed="false">
      <c r="B58" s="29" t="s">
        <v>142</v>
      </c>
      <c r="C58" s="29"/>
      <c r="D58" s="29" t="n">
        <v>170000</v>
      </c>
      <c r="F58" s="10"/>
      <c r="G58" s="54"/>
      <c r="H58" s="72"/>
    </row>
    <row r="59" customFormat="false" ht="12.75" hidden="false" customHeight="false" outlineLevel="0" collapsed="false">
      <c r="A59" s="9" t="n">
        <v>45291</v>
      </c>
      <c r="B59" s="0" t="s">
        <v>143</v>
      </c>
      <c r="D59" s="59"/>
      <c r="E59" s="33"/>
      <c r="F59" s="4" t="n">
        <f aca="false">D59-E59</f>
        <v>0</v>
      </c>
      <c r="G59" s="54"/>
      <c r="H59" s="72"/>
    </row>
    <row r="60" customFormat="false" ht="12.75" hidden="false" customHeight="false" outlineLevel="0" collapsed="false">
      <c r="B60" s="23" t="s">
        <v>144</v>
      </c>
      <c r="D60" s="59"/>
      <c r="E60" s="33"/>
      <c r="F60" s="4" t="n">
        <f aca="false">D60-E60+F59</f>
        <v>0</v>
      </c>
      <c r="G60" s="54"/>
      <c r="H60" s="72"/>
    </row>
    <row r="61" customFormat="false" ht="12.75" hidden="false" customHeight="false" outlineLevel="0" collapsed="false">
      <c r="B61" s="0" t="s">
        <v>145</v>
      </c>
      <c r="D61" s="59"/>
      <c r="E61" s="33"/>
      <c r="F61" s="4" t="n">
        <f aca="false">D61-E61+F60</f>
        <v>0</v>
      </c>
      <c r="G61" s="54"/>
      <c r="H61" s="72"/>
    </row>
    <row r="62" customFormat="false" ht="12.75" hidden="false" customHeight="false" outlineLevel="0" collapsed="false">
      <c r="A62" s="9" t="n">
        <v>45295</v>
      </c>
      <c r="B62" s="60" t="s">
        <v>146</v>
      </c>
      <c r="D62" s="59"/>
      <c r="E62" s="33"/>
      <c r="F62" s="4" t="n">
        <f aca="false">D62-E62+F61</f>
        <v>0</v>
      </c>
      <c r="G62" s="54"/>
      <c r="H62" s="72"/>
    </row>
    <row r="63" customFormat="false" ht="12.75" hidden="false" customHeight="false" outlineLevel="0" collapsed="false">
      <c r="A63" s="9" t="n">
        <v>45295</v>
      </c>
      <c r="B63" s="0" t="n">
        <v>11402</v>
      </c>
      <c r="C63" s="0" t="n">
        <v>16</v>
      </c>
      <c r="D63" s="59" t="n">
        <f aca="false">C63*B63</f>
        <v>182432</v>
      </c>
      <c r="E63" s="33"/>
      <c r="F63" s="4" t="n">
        <f aca="false">D63-E63+F62</f>
        <v>182432</v>
      </c>
      <c r="G63" s="54"/>
      <c r="H63" s="72"/>
    </row>
    <row r="64" customFormat="false" ht="12.75" hidden="false" customHeight="false" outlineLevel="0" collapsed="false">
      <c r="A64" s="35" t="n">
        <v>45295</v>
      </c>
      <c r="B64" s="23" t="s">
        <v>147</v>
      </c>
      <c r="D64" s="36" t="n">
        <v>-12432</v>
      </c>
      <c r="E64" s="37"/>
      <c r="F64" s="4" t="n">
        <f aca="false">D64-E64+F63</f>
        <v>170000</v>
      </c>
      <c r="G64" s="54"/>
      <c r="H64" s="72"/>
    </row>
    <row r="65" customFormat="false" ht="12.75" hidden="false" customHeight="false" outlineLevel="0" collapsed="false">
      <c r="A65" s="35" t="n">
        <v>45295</v>
      </c>
      <c r="B65" s="0" t="s">
        <v>148</v>
      </c>
      <c r="D65" s="36"/>
      <c r="E65" s="37" t="n">
        <v>120000</v>
      </c>
      <c r="F65" s="4" t="n">
        <f aca="false">D65-E65+F64</f>
        <v>50000</v>
      </c>
      <c r="G65" s="54"/>
      <c r="H65" s="72"/>
    </row>
    <row r="66" customFormat="false" ht="12.75" hidden="false" customHeight="false" outlineLevel="0" collapsed="false">
      <c r="A66" s="35" t="n">
        <v>45296</v>
      </c>
      <c r="B66" s="0" t="s">
        <v>148</v>
      </c>
      <c r="D66" s="36"/>
      <c r="E66" s="37" t="n">
        <v>26000</v>
      </c>
      <c r="F66" s="4" t="n">
        <f aca="false">D66-E66+F65</f>
        <v>24000</v>
      </c>
      <c r="G66" s="54"/>
      <c r="H66" s="72"/>
    </row>
    <row r="67" customFormat="false" ht="12.75" hidden="false" customHeight="false" outlineLevel="0" collapsed="false">
      <c r="A67" s="35" t="n">
        <v>45299</v>
      </c>
      <c r="B67" s="0" t="s">
        <v>149</v>
      </c>
      <c r="D67" s="36"/>
      <c r="E67" s="37" t="n">
        <v>24000</v>
      </c>
      <c r="F67" s="4" t="n">
        <f aca="false">D67-E67+F66</f>
        <v>0</v>
      </c>
      <c r="G67" s="54"/>
      <c r="H67" s="72"/>
    </row>
    <row r="68" customFormat="false" ht="12.75" hidden="false" customHeight="false" outlineLevel="0" collapsed="false">
      <c r="B68" s="4"/>
      <c r="C68" s="4"/>
      <c r="D68" s="4"/>
      <c r="F68" s="10"/>
      <c r="G68" s="54"/>
      <c r="H68" s="72"/>
    </row>
    <row r="69" customFormat="false" ht="12.75" hidden="false" customHeight="false" outlineLevel="0" collapsed="false">
      <c r="B69" s="4"/>
      <c r="C69" s="4"/>
      <c r="D69" s="4"/>
      <c r="F69" s="10"/>
      <c r="G69" s="54"/>
      <c r="H69" s="72"/>
    </row>
    <row r="70" customFormat="false" ht="12.75" hidden="false" customHeight="false" outlineLevel="0" collapsed="false">
      <c r="B70" s="4"/>
      <c r="C70" s="4"/>
      <c r="D70" s="4"/>
      <c r="F70" s="10"/>
      <c r="G70" s="54"/>
      <c r="H70" s="72"/>
    </row>
    <row r="71" customFormat="false" ht="12.75" hidden="false" customHeight="false" outlineLevel="0" collapsed="false">
      <c r="B71" s="4"/>
      <c r="C71" s="4"/>
      <c r="D71" s="4"/>
      <c r="F71" s="10"/>
      <c r="G71" s="54"/>
      <c r="H71" s="72"/>
    </row>
    <row r="72" customFormat="false" ht="12.75" hidden="false" customHeight="false" outlineLevel="0" collapsed="false">
      <c r="A72" s="69"/>
      <c r="B72" s="67" t="s">
        <v>150</v>
      </c>
      <c r="C72" s="67"/>
      <c r="D72" s="70"/>
      <c r="E72" s="70"/>
      <c r="F72" s="71"/>
      <c r="G72" s="54"/>
      <c r="H72" s="72"/>
    </row>
    <row r="73" customFormat="false" ht="12.75" hidden="false" customHeight="false" outlineLevel="0" collapsed="false">
      <c r="B73" s="0" t="s">
        <v>151</v>
      </c>
      <c r="C73" s="4"/>
      <c r="D73" s="4"/>
      <c r="F73" s="10"/>
      <c r="G73" s="54"/>
      <c r="H73" s="72"/>
    </row>
    <row r="74" customFormat="false" ht="12.75" hidden="false" customHeight="false" outlineLevel="0" collapsed="false">
      <c r="B74" s="29" t="s">
        <v>152</v>
      </c>
      <c r="C74" s="29"/>
      <c r="D74" s="29" t="n">
        <v>84000</v>
      </c>
      <c r="F74" s="4"/>
      <c r="G74" s="4"/>
      <c r="H74" s="4"/>
    </row>
    <row r="75" customFormat="false" ht="12.75" hidden="false" customHeight="false" outlineLevel="0" collapsed="false">
      <c r="B75" s="4"/>
      <c r="C75" s="4"/>
      <c r="D75" s="4"/>
      <c r="F75" s="4"/>
      <c r="G75" s="4"/>
      <c r="H75" s="4"/>
    </row>
    <row r="76" customFormat="false" ht="12.75" hidden="false" customHeight="false" outlineLevel="0" collapsed="false">
      <c r="B76" s="4"/>
      <c r="C76" s="4"/>
      <c r="D76" s="4"/>
      <c r="F76" s="4"/>
      <c r="G76" s="4"/>
      <c r="H76" s="4"/>
    </row>
    <row r="77" customFormat="false" ht="12.75" hidden="false" customHeight="false" outlineLevel="0" collapsed="false">
      <c r="B77" s="4"/>
      <c r="C77" s="4"/>
      <c r="D77" s="4"/>
      <c r="F77" s="4"/>
      <c r="G77" s="4"/>
      <c r="H77" s="4"/>
    </row>
    <row r="78" customFormat="false" ht="12.75" hidden="false" customHeight="false" outlineLevel="0" collapsed="false">
      <c r="B78" s="4"/>
      <c r="C78" s="4"/>
      <c r="D78" s="4"/>
      <c r="F78" s="4"/>
      <c r="G78" s="4"/>
      <c r="H78" s="4"/>
    </row>
    <row r="79" customFormat="false" ht="12.75" hidden="false" customHeight="false" outlineLevel="0" collapsed="false">
      <c r="F79" s="4"/>
      <c r="G79" s="4"/>
      <c r="H79" s="4"/>
    </row>
    <row r="80" customFormat="false" ht="12.75" hidden="false" customHeight="false" outlineLevel="0" collapsed="false">
      <c r="F80" s="4"/>
      <c r="G80" s="4"/>
      <c r="H80" s="4"/>
    </row>
    <row r="81" customFormat="false" ht="12.75" hidden="false" customHeight="false" outlineLevel="0" collapsed="false">
      <c r="B81" s="10"/>
      <c r="C81" s="10"/>
      <c r="D81" s="11"/>
      <c r="F81" s="4"/>
      <c r="G81" s="4"/>
      <c r="H81" s="4"/>
    </row>
    <row r="82" customFormat="false" ht="12.75" hidden="false" customHeight="false" outlineLevel="0" collapsed="false">
      <c r="D82" s="4"/>
      <c r="F82" s="4"/>
      <c r="G82" s="4"/>
      <c r="H82" s="4"/>
    </row>
    <row r="83" customFormat="false" ht="12.75" hidden="false" customHeight="false" outlineLevel="0" collapsed="false">
      <c r="D83" s="4"/>
      <c r="F83" s="4"/>
      <c r="G83" s="4"/>
      <c r="H83" s="4"/>
    </row>
    <row r="84" customFormat="false" ht="12.75" hidden="false" customHeight="false" outlineLevel="0" collapsed="false">
      <c r="D84" s="4"/>
      <c r="F84" s="4"/>
      <c r="G84" s="4"/>
      <c r="H84" s="4"/>
    </row>
    <row r="85" customFormat="false" ht="12.75" hidden="false" customHeight="false" outlineLevel="0" collapsed="false">
      <c r="D85" s="4"/>
      <c r="F85" s="4"/>
      <c r="G85" s="4"/>
      <c r="H85" s="4"/>
    </row>
    <row r="86" customFormat="false" ht="12.75" hidden="false" customHeight="false" outlineLevel="0" collapsed="false">
      <c r="D86" s="4"/>
      <c r="F86" s="4"/>
      <c r="G86" s="4"/>
      <c r="H86" s="4"/>
    </row>
    <row r="87" customFormat="false" ht="12.75" hidden="false" customHeight="false" outlineLevel="0" collapsed="false">
      <c r="D87" s="4"/>
      <c r="F87" s="4"/>
      <c r="G87" s="4"/>
      <c r="H87" s="4"/>
    </row>
    <row r="88" customFormat="false" ht="12.75" hidden="false" customHeight="false" outlineLevel="0" collapsed="false">
      <c r="D88" s="4"/>
      <c r="F88" s="4"/>
      <c r="G88" s="4"/>
      <c r="H88" s="4"/>
    </row>
    <row r="89" customFormat="false" ht="12.75" hidden="false" customHeight="false" outlineLevel="0" collapsed="false">
      <c r="B89" s="10"/>
      <c r="C89" s="10"/>
      <c r="D89" s="4"/>
      <c r="F89" s="11"/>
      <c r="G89" s="4"/>
      <c r="H89" s="4"/>
    </row>
    <row r="90" customFormat="false" ht="12.75" hidden="false" customHeight="false" outlineLevel="0" collapsed="false">
      <c r="B90" s="2"/>
      <c r="C90" s="2"/>
      <c r="D90" s="4"/>
      <c r="F90" s="11"/>
      <c r="G90" s="4"/>
      <c r="H90" s="4"/>
    </row>
    <row r="91" customFormat="false" ht="12.75" hidden="false" customHeight="false" outlineLevel="0" collapsed="false">
      <c r="B91" s="10"/>
      <c r="C91" s="10"/>
      <c r="F91" s="11"/>
      <c r="G91" s="4"/>
      <c r="H91" s="4"/>
    </row>
    <row r="92" customFormat="false" ht="12.75" hidden="false" customHeight="false" outlineLevel="0" collapsed="false">
      <c r="F92" s="11"/>
      <c r="G92" s="4"/>
      <c r="H92" s="4"/>
    </row>
    <row r="93" customFormat="false" ht="12.75" hidden="false" customHeight="false" outlineLevel="0" collapsed="false">
      <c r="B93" s="10"/>
      <c r="C93" s="10"/>
      <c r="F93" s="11"/>
      <c r="G93" s="4"/>
      <c r="H93" s="4"/>
    </row>
    <row r="94" customFormat="false" ht="12.75" hidden="false" customHeight="false" outlineLevel="0" collapsed="false">
      <c r="B94" s="4"/>
      <c r="C94" s="4"/>
      <c r="D94" s="4"/>
      <c r="F94" s="4"/>
      <c r="G94" s="4"/>
      <c r="H94" s="4"/>
    </row>
    <row r="95" customFormat="false" ht="12.75" hidden="false" customHeight="false" outlineLevel="0" collapsed="false">
      <c r="B95" s="4"/>
      <c r="C95" s="4"/>
      <c r="D95" s="4"/>
      <c r="F95" s="4"/>
      <c r="G95" s="4"/>
      <c r="H95" s="4"/>
    </row>
    <row r="96" customFormat="false" ht="12.75" hidden="false" customHeight="false" outlineLevel="0" collapsed="false">
      <c r="B96" s="4"/>
      <c r="C96" s="4"/>
      <c r="D96" s="4"/>
      <c r="F96" s="4"/>
      <c r="G96" s="4"/>
      <c r="H96" s="4"/>
    </row>
    <row r="97" customFormat="false" ht="12.75" hidden="false" customHeight="false" outlineLevel="0" collapsed="false">
      <c r="B97" s="4"/>
      <c r="C97" s="4"/>
      <c r="D97" s="4"/>
      <c r="F97" s="4"/>
      <c r="G97" s="4"/>
      <c r="H97" s="4"/>
    </row>
    <row r="98" customFormat="false" ht="12.75" hidden="false" customHeight="false" outlineLevel="0" collapsed="false">
      <c r="B98" s="4"/>
      <c r="C98" s="4"/>
      <c r="D98" s="4"/>
      <c r="F98" s="4"/>
      <c r="G98" s="4"/>
      <c r="H98" s="4"/>
    </row>
    <row r="99" customFormat="false" ht="12.75" hidden="false" customHeight="false" outlineLevel="0" collapsed="false">
      <c r="B99" s="4"/>
      <c r="C99" s="4"/>
      <c r="D99" s="4"/>
      <c r="F99" s="4"/>
      <c r="G99" s="4"/>
      <c r="H99" s="4"/>
    </row>
    <row r="100" customFormat="false" ht="12.75" hidden="false" customHeight="false" outlineLevel="0" collapsed="false">
      <c r="B100" s="4"/>
      <c r="C100" s="4"/>
      <c r="D100" s="4"/>
      <c r="F100" s="4"/>
      <c r="G100" s="4"/>
      <c r="H100" s="4"/>
    </row>
    <row r="101" customFormat="false" ht="12.75" hidden="false" customHeight="false" outlineLevel="0" collapsed="false">
      <c r="B101" s="4"/>
      <c r="C101" s="4"/>
      <c r="D101" s="4"/>
      <c r="F101" s="4"/>
      <c r="G101" s="4"/>
      <c r="H101" s="4"/>
    </row>
    <row r="102" customFormat="false" ht="12.75" hidden="false" customHeight="false" outlineLevel="0" collapsed="false">
      <c r="B102" s="4"/>
      <c r="C102" s="4"/>
      <c r="D102" s="4"/>
      <c r="F102" s="4"/>
      <c r="G102" s="4"/>
      <c r="H102" s="4"/>
    </row>
    <row r="103" customFormat="false" ht="12.75" hidden="false" customHeight="false" outlineLevel="0" collapsed="false">
      <c r="B103" s="4"/>
      <c r="C103" s="4"/>
      <c r="D103" s="4"/>
      <c r="F103" s="4"/>
      <c r="G103" s="4"/>
      <c r="H103" s="4"/>
    </row>
    <row r="104" customFormat="false" ht="12.75" hidden="false" customHeight="false" outlineLevel="0" collapsed="false">
      <c r="B104" s="4"/>
      <c r="C104" s="4"/>
      <c r="D104" s="4"/>
      <c r="F104" s="4"/>
      <c r="G104" s="4"/>
      <c r="H104" s="4"/>
    </row>
    <row r="105" customFormat="false" ht="12.75" hidden="false" customHeight="false" outlineLevel="0" collapsed="false">
      <c r="B105" s="4"/>
      <c r="C105" s="4"/>
      <c r="D105" s="4"/>
      <c r="F105" s="4"/>
      <c r="G105" s="4"/>
      <c r="H105" s="4"/>
    </row>
    <row r="106" customFormat="false" ht="12.75" hidden="false" customHeight="false" outlineLevel="0" collapsed="false">
      <c r="B106" s="4"/>
      <c r="C106" s="4"/>
      <c r="D106" s="4"/>
      <c r="F106" s="4"/>
      <c r="G106" s="4"/>
      <c r="H106" s="4"/>
    </row>
    <row r="107" customFormat="false" ht="12.75" hidden="false" customHeight="false" outlineLevel="0" collapsed="false">
      <c r="B107" s="4"/>
      <c r="C107" s="4"/>
      <c r="D107" s="4"/>
      <c r="F107" s="4"/>
    </row>
    <row r="108" customFormat="false" ht="12.75" hidden="false" customHeight="false" outlineLevel="0" collapsed="false">
      <c r="B108" s="4"/>
      <c r="C108" s="4"/>
    </row>
  </sheetData>
  <printOptions headings="false" gridLines="false" gridLinesSet="true" horizontalCentered="false" verticalCentered="false"/>
  <pageMargins left="0.39375" right="0.236111111111111" top="0.709027777777778" bottom="0.70625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8"/>
  <sheetViews>
    <sheetView showFormulas="false" showGridLines="true" showRowColHeaders="true" showZeros="true" rightToLeft="false" tabSelected="false" showOutlineSymbols="true" defaultGridColor="true" view="normal" topLeftCell="A7" colorId="64" zoomScale="140" zoomScaleNormal="140" zoomScalePageLayoutView="100" workbookViewId="0">
      <selection pane="topLeft" activeCell="B68" activeCellId="1" sqref="F84:F86 B68"/>
    </sheetView>
  </sheetViews>
  <sheetFormatPr defaultColWidth="8.66015625" defaultRowHeight="12.7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4" width="28.43"/>
    <col collapsed="false" customWidth="true" hidden="false" outlineLevel="0" max="3" min="3" style="4" width="11.43"/>
    <col collapsed="false" customWidth="true" hidden="false" outlineLevel="0" max="4" min="4" style="4" width="13"/>
    <col collapsed="false" customWidth="true" hidden="false" outlineLevel="0" max="5" min="5" style="4" width="10.86"/>
    <col collapsed="false" customWidth="true" hidden="false" outlineLevel="0" max="6" min="6" style="4" width="12.14"/>
    <col collapsed="false" customWidth="true" hidden="false" outlineLevel="0" max="7" min="7" style="4" width="11"/>
    <col collapsed="false" customWidth="true" hidden="false" outlineLevel="0" max="8" min="8" style="4" width="11.29"/>
    <col collapsed="false" customWidth="true" hidden="false" outlineLevel="0" max="60" min="9" style="0" width="12.14"/>
    <col collapsed="false" customWidth="true" hidden="false" outlineLevel="0" max="61" min="61" style="0" width="9.14"/>
  </cols>
  <sheetData>
    <row r="1" customFormat="false" ht="12.75" hidden="false" customHeight="false" outlineLevel="0" collapsed="false">
      <c r="A1" s="9"/>
      <c r="B1" s="10" t="s">
        <v>153</v>
      </c>
      <c r="C1" s="10"/>
      <c r="D1" s="10"/>
      <c r="E1" s="11" t="s">
        <v>154</v>
      </c>
    </row>
    <row r="2" customFormat="false" ht="12.75" hidden="false" customHeight="false" outlineLevel="0" collapsed="false">
      <c r="A2" s="9"/>
      <c r="B2" s="10"/>
      <c r="C2" s="10"/>
      <c r="D2" s="10"/>
    </row>
    <row r="3" customFormat="false" ht="12.75" hidden="false" customHeight="false" outlineLevel="0" collapsed="false">
      <c r="A3" s="13" t="s">
        <v>25</v>
      </c>
      <c r="B3" s="14" t="s">
        <v>26</v>
      </c>
      <c r="C3" s="14" t="s">
        <v>155</v>
      </c>
      <c r="D3" s="14"/>
      <c r="E3" s="16" t="s">
        <v>27</v>
      </c>
      <c r="F3" s="16" t="s">
        <v>3</v>
      </c>
      <c r="G3" s="16" t="s">
        <v>28</v>
      </c>
    </row>
    <row r="4" customFormat="false" ht="12.75" hidden="false" customHeight="false" outlineLevel="0" collapsed="false">
      <c r="A4" s="9"/>
      <c r="B4" s="17" t="s">
        <v>20</v>
      </c>
      <c r="C4" s="18"/>
      <c r="D4" s="23"/>
      <c r="E4" s="20" t="n">
        <f aca="false">SUM(E9:E13)</f>
        <v>240000</v>
      </c>
      <c r="F4" s="21" t="n">
        <f aca="false">SUM(F9:F13)</f>
        <v>135000</v>
      </c>
      <c r="G4" s="22" t="e">
        <f aca="false">#ref!</f>
        <v>#NAME?</v>
      </c>
    </row>
    <row r="5" customFormat="false" ht="12.75" hidden="false" customHeight="false" outlineLevel="0" collapsed="false">
      <c r="A5" s="9"/>
      <c r="B5" s="23" t="s">
        <v>29</v>
      </c>
      <c r="C5" s="23"/>
      <c r="D5" s="23"/>
      <c r="E5" s="24" t="n">
        <f aca="false">G44</f>
        <v>161160</v>
      </c>
    </row>
    <row r="6" customFormat="false" ht="12.75" hidden="false" customHeight="false" outlineLevel="0" collapsed="false">
      <c r="A6" s="9"/>
      <c r="B6" s="23" t="s">
        <v>5</v>
      </c>
      <c r="C6" s="23"/>
      <c r="E6" s="73" t="n">
        <f aca="false">G41</f>
        <v>-4079.59</v>
      </c>
      <c r="F6" s="23"/>
      <c r="G6" s="12"/>
    </row>
    <row r="7" customFormat="false" ht="12.75" hidden="false" customHeight="false" outlineLevel="0" collapsed="false">
      <c r="A7" s="26"/>
      <c r="B7" s="27"/>
      <c r="C7" s="27"/>
      <c r="D7" s="30"/>
      <c r="E7" s="27"/>
      <c r="F7" s="30" t="s">
        <v>30</v>
      </c>
      <c r="G7" s="31" t="n">
        <f aca="false">F4-E5</f>
        <v>-26160</v>
      </c>
    </row>
    <row r="8" customFormat="false" ht="12.75" hidden="false" customHeight="false" outlineLevel="0" collapsed="false">
      <c r="A8" s="9"/>
      <c r="B8" s="4" t="s">
        <v>156</v>
      </c>
      <c r="C8" s="23"/>
    </row>
    <row r="9" customFormat="false" ht="12.75" hidden="false" customHeight="false" outlineLevel="0" collapsed="false">
      <c r="A9" s="9" t="n">
        <v>45259</v>
      </c>
      <c r="E9" s="59"/>
      <c r="F9" s="33"/>
      <c r="G9" s="4" t="n">
        <f aca="false">E9-F9</f>
        <v>0</v>
      </c>
    </row>
    <row r="10" customFormat="false" ht="12.75" hidden="false" customHeight="false" outlineLevel="0" collapsed="false">
      <c r="A10" s="9"/>
      <c r="B10" s="74"/>
      <c r="C10" s="54"/>
      <c r="D10" s="4" t="n">
        <f aca="false">C10*E9</f>
        <v>0</v>
      </c>
      <c r="E10" s="75" t="n">
        <f aca="false">D10+E9</f>
        <v>0</v>
      </c>
      <c r="F10" s="33"/>
      <c r="G10" s="4" t="n">
        <f aca="false">E10-F10+G9</f>
        <v>0</v>
      </c>
    </row>
    <row r="11" customFormat="false" ht="12.75" hidden="false" customHeight="false" outlineLevel="0" collapsed="false">
      <c r="A11" s="40" t="s">
        <v>157</v>
      </c>
      <c r="B11" s="4" t="s">
        <v>158</v>
      </c>
      <c r="E11" s="59" t="n">
        <v>240000</v>
      </c>
      <c r="F11" s="33"/>
      <c r="G11" s="4" t="n">
        <f aca="false">E11-F11+G10</f>
        <v>240000</v>
      </c>
    </row>
    <row r="12" customFormat="false" ht="12.75" hidden="false" customHeight="false" outlineLevel="0" collapsed="false">
      <c r="A12" s="9"/>
      <c r="B12" s="4" t="s">
        <v>159</v>
      </c>
      <c r="E12" s="59"/>
      <c r="F12" s="33" t="n">
        <v>135000</v>
      </c>
      <c r="G12" s="4" t="n">
        <f aca="false">E12-F12+G11</f>
        <v>105000</v>
      </c>
    </row>
    <row r="13" customFormat="false" ht="12.75" hidden="false" customHeight="false" outlineLevel="0" collapsed="false">
      <c r="B13" s="74"/>
      <c r="C13" s="54"/>
      <c r="E13" s="75"/>
      <c r="F13" s="33"/>
      <c r="G13" s="4" t="n">
        <f aca="false">E13-F13+G12</f>
        <v>105000</v>
      </c>
    </row>
    <row r="14" customFormat="false" ht="12.75" hidden="false" customHeight="false" outlineLevel="0" collapsed="false">
      <c r="A14" s="35"/>
      <c r="E14" s="39"/>
      <c r="F14" s="19"/>
      <c r="G14" s="4" t="n">
        <f aca="false">E14-F14+G13</f>
        <v>105000</v>
      </c>
    </row>
    <row r="15" customFormat="false" ht="12.75" hidden="false" customHeight="false" outlineLevel="0" collapsed="false">
      <c r="A15" s="35"/>
      <c r="G15" s="4" t="n">
        <f aca="false">E15-F15+G14</f>
        <v>105000</v>
      </c>
    </row>
    <row r="16" customFormat="false" ht="12.75" hidden="false" customHeight="false" outlineLevel="0" collapsed="false">
      <c r="A16" s="40" t="s">
        <v>109</v>
      </c>
      <c r="B16" s="4" t="s">
        <v>158</v>
      </c>
      <c r="C16" s="4" t="n">
        <v>24</v>
      </c>
      <c r="D16" s="4" t="n">
        <v>22104</v>
      </c>
      <c r="E16" s="39" t="n">
        <f aca="false">D16*C16</f>
        <v>530496</v>
      </c>
      <c r="F16" s="19"/>
      <c r="G16" s="4" t="n">
        <f aca="false">E16-F16+G15</f>
        <v>635496</v>
      </c>
    </row>
    <row r="17" customFormat="false" ht="12.75" hidden="false" customHeight="false" outlineLevel="0" collapsed="false">
      <c r="A17" s="35"/>
      <c r="B17" s="4" t="s">
        <v>159</v>
      </c>
      <c r="E17" s="75"/>
      <c r="F17" s="19" t="n">
        <v>219000</v>
      </c>
      <c r="G17" s="4" t="n">
        <f aca="false">E17-F17+G16</f>
        <v>416496</v>
      </c>
    </row>
    <row r="18" customFormat="false" ht="12.75" hidden="false" customHeight="false" outlineLevel="0" collapsed="false">
      <c r="A18" s="35"/>
      <c r="E18" s="75"/>
      <c r="F18" s="19"/>
      <c r="G18" s="4" t="n">
        <f aca="false">E18-F18+G17</f>
        <v>416496</v>
      </c>
    </row>
    <row r="19" customFormat="false" ht="13.8" hidden="false" customHeight="false" outlineLevel="0" collapsed="false">
      <c r="A19" s="35"/>
      <c r="B19" s="34" t="n">
        <v>45739</v>
      </c>
      <c r="E19" s="39"/>
      <c r="F19" s="19"/>
      <c r="G19" s="4" t="n">
        <f aca="false">E19-F19+G18</f>
        <v>416496</v>
      </c>
    </row>
    <row r="20" customFormat="false" ht="12.75" hidden="false" customHeight="false" outlineLevel="0" collapsed="false">
      <c r="A20" s="35"/>
      <c r="E20" s="39"/>
      <c r="F20" s="19"/>
      <c r="G20" s="19"/>
    </row>
    <row r="21" customFormat="false" ht="12.75" hidden="false" customHeight="false" outlineLevel="0" collapsed="false">
      <c r="A21" s="35"/>
      <c r="E21" s="39"/>
      <c r="F21" s="19"/>
      <c r="G21" s="19"/>
    </row>
    <row r="22" customFormat="false" ht="12.75" hidden="false" customHeight="false" outlineLevel="0" collapsed="false">
      <c r="A22" s="35"/>
      <c r="E22" s="39"/>
      <c r="F22" s="19"/>
      <c r="G22" s="19"/>
    </row>
    <row r="23" customFormat="false" ht="12.75" hidden="false" customHeight="false" outlineLevel="0" collapsed="false">
      <c r="A23" s="35"/>
      <c r="E23" s="39"/>
      <c r="F23" s="19"/>
      <c r="G23" s="19"/>
    </row>
    <row r="24" customFormat="false" ht="12.75" hidden="false" customHeight="false" outlineLevel="0" collapsed="false">
      <c r="A24" s="35"/>
      <c r="E24" s="39"/>
      <c r="F24" s="19"/>
      <c r="G24" s="19"/>
    </row>
    <row r="25" customFormat="false" ht="12.75" hidden="false" customHeight="false" outlineLevel="0" collapsed="false">
      <c r="A25" s="35"/>
      <c r="E25" s="39"/>
      <c r="F25" s="19"/>
      <c r="G25" s="19"/>
    </row>
    <row r="26" customFormat="false" ht="12.75" hidden="false" customHeight="false" outlineLevel="0" collapsed="false">
      <c r="A26" s="35"/>
      <c r="E26" s="39"/>
      <c r="F26" s="19"/>
      <c r="G26" s="19"/>
    </row>
    <row r="27" customFormat="false" ht="12.75" hidden="false" customHeight="false" outlineLevel="0" collapsed="false">
      <c r="A27" s="35"/>
      <c r="E27" s="39"/>
      <c r="F27" s="19"/>
      <c r="G27" s="19"/>
    </row>
    <row r="28" customFormat="false" ht="12.75" hidden="false" customHeight="false" outlineLevel="0" collapsed="false">
      <c r="A28" s="40" t="s">
        <v>36</v>
      </c>
      <c r="B28" s="27" t="s">
        <v>117</v>
      </c>
      <c r="C28" s="27"/>
      <c r="D28" s="27" t="s">
        <v>118</v>
      </c>
      <c r="E28" s="41" t="s">
        <v>39</v>
      </c>
      <c r="F28" s="28"/>
      <c r="G28" s="28" t="n">
        <v>3000</v>
      </c>
    </row>
    <row r="29" customFormat="false" ht="12.75" hidden="false" customHeight="false" outlineLevel="0" collapsed="false">
      <c r="A29" s="35"/>
      <c r="B29" s="4" t="s">
        <v>41</v>
      </c>
      <c r="E29" s="39"/>
      <c r="F29" s="19"/>
      <c r="G29" s="19" t="n">
        <v>-3924.11</v>
      </c>
    </row>
    <row r="30" customFormat="false" ht="12.75" hidden="false" customHeight="false" outlineLevel="0" collapsed="false">
      <c r="A30" s="35"/>
      <c r="B30" s="4" t="s">
        <v>119</v>
      </c>
      <c r="D30" s="4" t="n">
        <v>0</v>
      </c>
      <c r="E30" s="4" t="n">
        <v>875.64</v>
      </c>
      <c r="F30" s="4" t="n">
        <v>875.64</v>
      </c>
      <c r="G30" s="19" t="n">
        <f aca="false">E30-F30+G29</f>
        <v>-3924.11</v>
      </c>
    </row>
    <row r="31" customFormat="false" ht="12.75" hidden="false" customHeight="false" outlineLevel="0" collapsed="false">
      <c r="A31" s="35"/>
      <c r="B31" s="4" t="s">
        <v>120</v>
      </c>
      <c r="D31" s="4" t="n">
        <v>0</v>
      </c>
      <c r="E31" s="4" t="n">
        <v>1036.52</v>
      </c>
      <c r="F31" s="4" t="n">
        <v>1192</v>
      </c>
      <c r="G31" s="19" t="n">
        <f aca="false">E31-F31+G30</f>
        <v>-4079.59</v>
      </c>
    </row>
    <row r="32" customFormat="false" ht="12.75" hidden="false" customHeight="false" outlineLevel="0" collapsed="false">
      <c r="A32" s="35"/>
      <c r="B32" s="4" t="s">
        <v>121</v>
      </c>
      <c r="G32" s="19" t="n">
        <f aca="false">E32-F32+G31</f>
        <v>-4079.59</v>
      </c>
    </row>
    <row r="33" customFormat="false" ht="12.75" hidden="false" customHeight="false" outlineLevel="0" collapsed="false">
      <c r="A33" s="35"/>
      <c r="B33" s="4" t="s">
        <v>122</v>
      </c>
      <c r="G33" s="19" t="n">
        <f aca="false">E33-F33+G32</f>
        <v>-4079.59</v>
      </c>
    </row>
    <row r="34" customFormat="false" ht="12.75" hidden="false" customHeight="false" outlineLevel="0" collapsed="false">
      <c r="A34" s="35"/>
      <c r="B34" s="4" t="s">
        <v>123</v>
      </c>
      <c r="G34" s="19" t="n">
        <f aca="false">E34-F34+G33</f>
        <v>-4079.59</v>
      </c>
    </row>
    <row r="35" customFormat="false" ht="12.75" hidden="false" customHeight="false" outlineLevel="0" collapsed="false">
      <c r="A35" s="35"/>
      <c r="B35" s="4" t="s">
        <v>124</v>
      </c>
      <c r="G35" s="19" t="n">
        <f aca="false">E35-F35+G34</f>
        <v>-4079.59</v>
      </c>
    </row>
    <row r="36" customFormat="false" ht="12.75" hidden="false" customHeight="false" outlineLevel="0" collapsed="false">
      <c r="A36" s="35"/>
      <c r="B36" s="4" t="s">
        <v>125</v>
      </c>
      <c r="G36" s="19" t="n">
        <f aca="false">E36-F36+G35</f>
        <v>-4079.59</v>
      </c>
    </row>
    <row r="37" customFormat="false" ht="12.75" hidden="false" customHeight="false" outlineLevel="0" collapsed="false">
      <c r="A37" s="35"/>
      <c r="B37" s="4" t="s">
        <v>126</v>
      </c>
      <c r="G37" s="19" t="n">
        <f aca="false">E37-F37+G36</f>
        <v>-4079.59</v>
      </c>
    </row>
    <row r="38" customFormat="false" ht="12.75" hidden="false" customHeight="false" outlineLevel="0" collapsed="false">
      <c r="A38" s="35"/>
      <c r="B38" s="4" t="s">
        <v>127</v>
      </c>
      <c r="G38" s="19" t="n">
        <f aca="false">E38-F38+G37</f>
        <v>-4079.59</v>
      </c>
    </row>
    <row r="39" customFormat="false" ht="12.75" hidden="false" customHeight="false" outlineLevel="0" collapsed="false">
      <c r="A39" s="35"/>
      <c r="B39" s="4" t="s">
        <v>128</v>
      </c>
      <c r="G39" s="19" t="n">
        <f aca="false">E39-F39+G38</f>
        <v>-4079.59</v>
      </c>
    </row>
    <row r="40" customFormat="false" ht="12.75" hidden="false" customHeight="false" outlineLevel="0" collapsed="false">
      <c r="A40" s="35"/>
      <c r="B40" s="4" t="s">
        <v>129</v>
      </c>
      <c r="E40" s="39"/>
      <c r="F40" s="19"/>
      <c r="G40" s="19" t="n">
        <f aca="false">E40-F40+G39</f>
        <v>-4079.59</v>
      </c>
    </row>
    <row r="41" customFormat="false" ht="12.75" hidden="false" customHeight="false" outlineLevel="0" collapsed="false">
      <c r="A41" s="40"/>
      <c r="B41" s="27" t="s">
        <v>130</v>
      </c>
      <c r="C41" s="27"/>
      <c r="D41" s="27"/>
      <c r="E41" s="41"/>
      <c r="F41" s="28"/>
      <c r="G41" s="28" t="n">
        <f aca="false">E41-F41+G40</f>
        <v>-4079.59</v>
      </c>
    </row>
    <row r="42" customFormat="false" ht="12.75" hidden="false" customHeight="false" outlineLevel="0" collapsed="false">
      <c r="A42" s="42" t="n">
        <v>45291</v>
      </c>
      <c r="B42" s="76" t="s">
        <v>41</v>
      </c>
      <c r="C42" s="76"/>
      <c r="D42" s="43" t="n">
        <f aca="false">SUM(D30:D41)</f>
        <v>0</v>
      </c>
      <c r="E42" s="45"/>
      <c r="F42" s="46"/>
      <c r="G42" s="47" t="n">
        <f aca="false">E42-F42+G41</f>
        <v>-4079.59</v>
      </c>
    </row>
    <row r="43" customFormat="false" ht="12.75" hidden="false" customHeight="false" outlineLevel="0" collapsed="false">
      <c r="A43" s="9"/>
    </row>
    <row r="44" customFormat="false" ht="12.75" hidden="false" customHeight="false" outlineLevel="0" collapsed="false">
      <c r="A44" s="48" t="s">
        <v>160</v>
      </c>
      <c r="B44" s="49" t="s">
        <v>58</v>
      </c>
      <c r="C44" s="49"/>
      <c r="D44" s="49"/>
      <c r="E44" s="68"/>
      <c r="F44" s="29"/>
      <c r="G44" s="52" t="n">
        <f aca="false">SUM(F45:F49)</f>
        <v>161160</v>
      </c>
    </row>
    <row r="45" customFormat="false" ht="12.75" hidden="false" customHeight="false" outlineLevel="0" collapsed="false">
      <c r="A45" s="9"/>
      <c r="B45" s="10"/>
      <c r="C45" s="10"/>
      <c r="D45" s="10"/>
    </row>
    <row r="46" customFormat="false" ht="12.75" hidden="false" customHeight="false" outlineLevel="0" collapsed="false">
      <c r="A46" s="9"/>
      <c r="B46" s="4" t="s">
        <v>161</v>
      </c>
    </row>
    <row r="47" customFormat="false" ht="12.75" hidden="false" customHeight="false" outlineLevel="0" collapsed="false">
      <c r="A47" s="9"/>
      <c r="B47" s="4" t="s">
        <v>162</v>
      </c>
      <c r="D47" s="4" t="n">
        <v>3000</v>
      </c>
      <c r="E47" s="4" t="n">
        <v>12</v>
      </c>
      <c r="F47" s="4" t="n">
        <f aca="false">E47*D47</f>
        <v>36000</v>
      </c>
      <c r="H47" s="4" t="n">
        <v>36000</v>
      </c>
    </row>
    <row r="48" customFormat="false" ht="12.75" hidden="false" customHeight="false" outlineLevel="0" collapsed="false">
      <c r="A48" s="9"/>
      <c r="B48" s="4" t="s">
        <v>163</v>
      </c>
      <c r="D48" s="4" t="n">
        <f aca="false">F48/E48</f>
        <v>3596.66666666667</v>
      </c>
      <c r="E48" s="4" t="n">
        <v>12</v>
      </c>
      <c r="F48" s="4" t="n">
        <v>43160</v>
      </c>
      <c r="G48" s="53"/>
      <c r="H48" s="4" t="n">
        <v>43160</v>
      </c>
    </row>
    <row r="49" customFormat="false" ht="12.75" hidden="false" customHeight="false" outlineLevel="0" collapsed="false">
      <c r="A49" s="9"/>
      <c r="B49" s="27" t="s">
        <v>164</v>
      </c>
      <c r="C49" s="27"/>
      <c r="D49" s="4" t="n">
        <f aca="false">F49/E49</f>
        <v>6833.33333333333</v>
      </c>
      <c r="E49" s="10" t="n">
        <v>12</v>
      </c>
      <c r="F49" s="4" t="n">
        <v>82000</v>
      </c>
      <c r="G49" s="11"/>
      <c r="H49" s="29" t="n">
        <v>82000</v>
      </c>
    </row>
    <row r="50" customFormat="false" ht="12.75" hidden="false" customHeight="false" outlineLevel="0" collapsed="false">
      <c r="A50" s="9"/>
      <c r="B50" s="4" t="s">
        <v>165</v>
      </c>
      <c r="E50" s="10"/>
      <c r="G50" s="11"/>
      <c r="H50" s="4" t="n">
        <v>135000</v>
      </c>
    </row>
    <row r="51" customFormat="false" ht="12.75" hidden="false" customHeight="false" outlineLevel="0" collapsed="false">
      <c r="A51" s="9"/>
      <c r="B51" s="4" t="s">
        <v>166</v>
      </c>
      <c r="E51" s="10"/>
      <c r="G51" s="11"/>
    </row>
    <row r="52" customFormat="false" ht="12.75" hidden="false" customHeight="false" outlineLevel="0" collapsed="false">
      <c r="A52" s="9"/>
      <c r="E52" s="10"/>
      <c r="G52" s="11"/>
    </row>
    <row r="53" customFormat="false" ht="12.75" hidden="false" customHeight="false" outlineLevel="0" collapsed="false">
      <c r="A53" s="9"/>
      <c r="E53" s="10"/>
      <c r="G53" s="11"/>
    </row>
    <row r="54" customFormat="false" ht="12.75" hidden="false" customHeight="false" outlineLevel="0" collapsed="false">
      <c r="A54" s="77" t="n">
        <v>45214</v>
      </c>
      <c r="B54" s="4" t="s">
        <v>167</v>
      </c>
    </row>
    <row r="55" customFormat="false" ht="12.75" hidden="false" customHeight="false" outlineLevel="0" collapsed="false">
      <c r="A55" s="77" t="n">
        <v>45214</v>
      </c>
      <c r="B55" s="4" t="s">
        <v>168</v>
      </c>
    </row>
    <row r="56" customFormat="false" ht="12.75" hidden="false" customHeight="false" outlineLevel="0" collapsed="false">
      <c r="A56" s="77" t="n">
        <v>45214</v>
      </c>
      <c r="B56" s="4" t="s">
        <v>169</v>
      </c>
    </row>
    <row r="57" customFormat="false" ht="12.75" hidden="false" customHeight="false" outlineLevel="0" collapsed="false">
      <c r="A57" s="77" t="n">
        <v>44321</v>
      </c>
      <c r="B57" s="4" t="s">
        <v>170</v>
      </c>
    </row>
    <row r="58" customFormat="false" ht="12.75" hidden="false" customHeight="false" outlineLevel="0" collapsed="false">
      <c r="A58" s="77" t="n">
        <v>44367</v>
      </c>
      <c r="B58" s="4" t="s">
        <v>171</v>
      </c>
    </row>
    <row r="59" customFormat="false" ht="12.75" hidden="false" customHeight="false" outlineLevel="0" collapsed="false">
      <c r="A59" s="77" t="n">
        <v>44459</v>
      </c>
      <c r="B59" s="4" t="s">
        <v>172</v>
      </c>
    </row>
    <row r="60" customFormat="false" ht="12.75" hidden="false" customHeight="false" outlineLevel="0" collapsed="false">
      <c r="A60" s="77" t="n">
        <v>44459</v>
      </c>
      <c r="B60" s="4" t="s">
        <v>173</v>
      </c>
    </row>
    <row r="61" customFormat="false" ht="12.75" hidden="false" customHeight="false" outlineLevel="0" collapsed="false">
      <c r="A61" s="77" t="n">
        <v>44433</v>
      </c>
      <c r="B61" s="4" t="s">
        <v>174</v>
      </c>
    </row>
    <row r="62" customFormat="false" ht="12.75" hidden="false" customHeight="false" outlineLevel="0" collapsed="false">
      <c r="A62" s="77" t="n">
        <v>44449</v>
      </c>
      <c r="B62" s="4" t="s">
        <v>175</v>
      </c>
    </row>
    <row r="63" customFormat="false" ht="12.75" hidden="false" customHeight="false" outlineLevel="0" collapsed="false">
      <c r="A63" s="77" t="n">
        <v>44201</v>
      </c>
      <c r="B63" s="4" t="s">
        <v>176</v>
      </c>
      <c r="E63" s="3" t="n">
        <v>500</v>
      </c>
    </row>
    <row r="64" customFormat="false" ht="12.75" hidden="false" customHeight="false" outlineLevel="0" collapsed="false">
      <c r="A64" s="77" t="n">
        <v>44931</v>
      </c>
      <c r="B64" s="4" t="s">
        <v>177</v>
      </c>
      <c r="E64" s="3"/>
    </row>
    <row r="65" customFormat="false" ht="12.75" hidden="false" customHeight="false" outlineLevel="0" collapsed="false">
      <c r="A65" s="77" t="n">
        <v>44252</v>
      </c>
      <c r="B65" s="4" t="s">
        <v>178</v>
      </c>
      <c r="E65" s="3" t="s">
        <v>179</v>
      </c>
    </row>
    <row r="66" customFormat="false" ht="12.75" hidden="false" customHeight="false" outlineLevel="0" collapsed="false">
      <c r="A66" s="77" t="n">
        <v>44285</v>
      </c>
      <c r="B66" s="4" t="s">
        <v>180</v>
      </c>
      <c r="E66" s="3" t="s">
        <v>181</v>
      </c>
    </row>
    <row r="67" customFormat="false" ht="12.75" hidden="false" customHeight="false" outlineLevel="0" collapsed="false">
      <c r="A67" s="77" t="n">
        <v>44413</v>
      </c>
      <c r="B67" s="4" t="s">
        <v>182</v>
      </c>
      <c r="E67" s="3" t="s">
        <v>181</v>
      </c>
    </row>
    <row r="68" customFormat="false" ht="12.75" hidden="false" customHeight="false" outlineLevel="0" collapsed="false">
      <c r="B68" s="4" t="s">
        <v>183</v>
      </c>
      <c r="E68" s="3" t="s">
        <v>179</v>
      </c>
    </row>
    <row r="69" customFormat="false" ht="12.75" hidden="false" customHeight="false" outlineLevel="0" collapsed="false">
      <c r="A69" s="77"/>
    </row>
    <row r="70" customFormat="false" ht="12.75" hidden="false" customHeight="false" outlineLevel="0" collapsed="false">
      <c r="A70" s="77"/>
    </row>
    <row r="72" customFormat="false" ht="12.75" hidden="false" customHeight="false" outlineLevel="0" collapsed="false">
      <c r="G72" s="54"/>
      <c r="H72" s="72"/>
    </row>
    <row r="73" customFormat="false" ht="12.75" hidden="false" customHeight="false" outlineLevel="0" collapsed="false">
      <c r="G73" s="54"/>
      <c r="H73" s="72"/>
    </row>
    <row r="74" customFormat="false" ht="12.75" hidden="false" customHeight="false" outlineLevel="0" collapsed="false">
      <c r="G74" s="54"/>
      <c r="H74" s="72"/>
    </row>
    <row r="75" customFormat="false" ht="12.75" hidden="false" customHeight="false" outlineLevel="0" collapsed="false">
      <c r="B75" s="4" t="s">
        <v>184</v>
      </c>
      <c r="F75" s="2"/>
      <c r="G75" s="54"/>
      <c r="H75" s="72"/>
    </row>
    <row r="76" customFormat="false" ht="12.75" hidden="false" customHeight="false" outlineLevel="0" collapsed="false">
      <c r="F76" s="2"/>
      <c r="G76" s="54"/>
      <c r="H76" s="72"/>
    </row>
    <row r="77" customFormat="false" ht="12.75" hidden="false" customHeight="false" outlineLevel="0" collapsed="false">
      <c r="B77" s="4" t="s">
        <v>185</v>
      </c>
      <c r="E77" s="4" t="n">
        <v>42.07</v>
      </c>
      <c r="F77" s="4" t="n">
        <f aca="false">D77-E77</f>
        <v>-42.07</v>
      </c>
      <c r="G77" s="54"/>
      <c r="H77" s="72"/>
    </row>
    <row r="78" customFormat="false" ht="12.75" hidden="false" customHeight="false" outlineLevel="0" collapsed="false">
      <c r="B78" s="4" t="s">
        <v>186</v>
      </c>
      <c r="E78" s="4" t="n">
        <v>34.45</v>
      </c>
      <c r="F78" s="4" t="n">
        <f aca="false">F77+D78-E78</f>
        <v>-76.52</v>
      </c>
    </row>
    <row r="79" customFormat="false" ht="12.75" hidden="false" customHeight="false" outlineLevel="0" collapsed="false">
      <c r="B79" s="4" t="s">
        <v>187</v>
      </c>
      <c r="E79" s="4" t="n">
        <v>20.05</v>
      </c>
      <c r="F79" s="4" t="n">
        <f aca="false">F78+D79-E79</f>
        <v>-96.57</v>
      </c>
    </row>
    <row r="80" customFormat="false" ht="12.75" hidden="false" customHeight="false" outlineLevel="0" collapsed="false">
      <c r="B80" s="4" t="s">
        <v>188</v>
      </c>
      <c r="E80" s="4" t="n">
        <v>34.7</v>
      </c>
      <c r="F80" s="4" t="n">
        <f aca="false">F79+D80-E80</f>
        <v>-131.27</v>
      </c>
    </row>
    <row r="81" customFormat="false" ht="12.75" hidden="false" customHeight="false" outlineLevel="0" collapsed="false">
      <c r="B81" s="4" t="s">
        <v>189</v>
      </c>
      <c r="E81" s="4" t="n">
        <v>34.34</v>
      </c>
      <c r="F81" s="4" t="n">
        <f aca="false">F80+D81-E81</f>
        <v>-165.61</v>
      </c>
    </row>
    <row r="82" customFormat="false" ht="12.75" hidden="false" customHeight="false" outlineLevel="0" collapsed="false">
      <c r="B82" s="4" t="s">
        <v>190</v>
      </c>
      <c r="E82" s="4" t="n">
        <v>-65.91</v>
      </c>
      <c r="F82" s="4" t="n">
        <f aca="false">F81+D82-E82</f>
        <v>-99.7</v>
      </c>
    </row>
    <row r="83" customFormat="false" ht="12.75" hidden="false" customHeight="false" outlineLevel="0" collapsed="false">
      <c r="B83" s="4" t="s">
        <v>191</v>
      </c>
      <c r="E83" s="4" t="n">
        <v>31.54</v>
      </c>
      <c r="F83" s="4" t="n">
        <f aca="false">F82+D83-E83</f>
        <v>-131.24</v>
      </c>
    </row>
    <row r="84" customFormat="false" ht="12.75" hidden="false" customHeight="false" outlineLevel="0" collapsed="false">
      <c r="B84" s="4" t="s">
        <v>192</v>
      </c>
      <c r="E84" s="4" t="n">
        <v>0</v>
      </c>
      <c r="F84" s="4" t="n">
        <f aca="false">F83+D84-E84</f>
        <v>-131.24</v>
      </c>
    </row>
    <row r="85" customFormat="false" ht="12.75" hidden="false" customHeight="false" outlineLevel="0" collapsed="false">
      <c r="B85" s="4" t="s">
        <v>193</v>
      </c>
      <c r="E85" s="4" t="n">
        <v>45.99</v>
      </c>
      <c r="F85" s="4" t="n">
        <f aca="false">F84+D85-E85</f>
        <v>-177.23</v>
      </c>
    </row>
    <row r="86" customFormat="false" ht="12.75" hidden="false" customHeight="false" outlineLevel="0" collapsed="false">
      <c r="B86" s="4" t="s">
        <v>194</v>
      </c>
      <c r="E86" s="4" t="n">
        <v>42.89</v>
      </c>
      <c r="F86" s="4" t="n">
        <f aca="false">F85+D86-E86</f>
        <v>-220.12</v>
      </c>
    </row>
    <row r="87" customFormat="false" ht="12.75" hidden="false" customHeight="false" outlineLevel="0" collapsed="false">
      <c r="B87" s="4" t="s">
        <v>195</v>
      </c>
      <c r="E87" s="4" t="n">
        <v>34.98</v>
      </c>
      <c r="F87" s="4" t="n">
        <f aca="false">F86+D87-E87</f>
        <v>-255.1</v>
      </c>
    </row>
    <row r="88" customFormat="false" ht="12.75" hidden="false" customHeight="false" outlineLevel="0" collapsed="false">
      <c r="B88" s="4" t="s">
        <v>196</v>
      </c>
      <c r="E88" s="4" t="n">
        <v>0</v>
      </c>
      <c r="F88" s="4" t="n">
        <f aca="false">F87+D88-E88</f>
        <v>-255.1</v>
      </c>
    </row>
    <row r="89" customFormat="false" ht="12.75" hidden="false" customHeight="false" outlineLevel="0" collapsed="false">
      <c r="B89" s="2" t="s">
        <v>197</v>
      </c>
      <c r="C89" s="2"/>
      <c r="D89" s="72"/>
      <c r="E89" s="2"/>
      <c r="F89" s="72" t="n">
        <f aca="false">F88+D89-E89</f>
        <v>-255.1</v>
      </c>
    </row>
    <row r="92" customFormat="false" ht="12.75" hidden="false" customHeight="false" outlineLevel="0" collapsed="false">
      <c r="B92" s="2" t="s">
        <v>198</v>
      </c>
      <c r="C92" s="2"/>
      <c r="D92" s="72"/>
      <c r="E92" s="2"/>
      <c r="F92" s="72" t="n">
        <v>-255.1</v>
      </c>
    </row>
    <row r="93" customFormat="false" ht="12.75" hidden="false" customHeight="false" outlineLevel="0" collapsed="false">
      <c r="B93" s="4" t="s">
        <v>199</v>
      </c>
      <c r="E93" s="4" t="n">
        <v>30.04</v>
      </c>
      <c r="F93" s="4" t="n">
        <f aca="false">F92+D93-E93</f>
        <v>-285.14</v>
      </c>
    </row>
    <row r="94" customFormat="false" ht="12.75" hidden="false" customHeight="false" outlineLevel="0" collapsed="false">
      <c r="B94" s="78" t="n">
        <v>44593</v>
      </c>
      <c r="C94" s="78"/>
      <c r="E94" s="4" t="n">
        <v>135.32</v>
      </c>
      <c r="F94" s="4" t="n">
        <f aca="false">F93+D94-E94</f>
        <v>-420.46</v>
      </c>
    </row>
    <row r="95" customFormat="false" ht="12.75" hidden="false" customHeight="false" outlineLevel="0" collapsed="false">
      <c r="B95" s="78" t="n">
        <v>44621</v>
      </c>
      <c r="C95" s="78"/>
      <c r="E95" s="4" t="n">
        <v>98.9</v>
      </c>
      <c r="F95" s="4" t="n">
        <f aca="false">F94+D95-E95</f>
        <v>-519.36</v>
      </c>
    </row>
    <row r="96" customFormat="false" ht="12.75" hidden="false" customHeight="false" outlineLevel="0" collapsed="false">
      <c r="B96" s="78" t="n">
        <v>44652</v>
      </c>
      <c r="C96" s="78"/>
      <c r="E96" s="4" t="n">
        <v>135.6</v>
      </c>
      <c r="F96" s="4" t="n">
        <f aca="false">F95+D96-E96</f>
        <v>-654.96</v>
      </c>
    </row>
    <row r="97" customFormat="false" ht="12.75" hidden="false" customHeight="false" outlineLevel="0" collapsed="false">
      <c r="B97" s="4" t="s">
        <v>200</v>
      </c>
      <c r="E97" s="4" t="n">
        <v>214.37</v>
      </c>
      <c r="F97" s="4" t="n">
        <f aca="false">F96+D97-E97</f>
        <v>-869.33</v>
      </c>
    </row>
    <row r="98" customFormat="false" ht="12.75" hidden="false" customHeight="false" outlineLevel="0" collapsed="false">
      <c r="B98" s="4" t="s">
        <v>201</v>
      </c>
      <c r="E98" s="4" t="n">
        <v>427.65</v>
      </c>
      <c r="F98" s="4" t="n">
        <f aca="false">F97+D98-E98</f>
        <v>-1296.98</v>
      </c>
    </row>
    <row r="99" customFormat="false" ht="12.75" hidden="false" customHeight="false" outlineLevel="0" collapsed="false">
      <c r="B99" s="4" t="s">
        <v>202</v>
      </c>
      <c r="E99" s="4" t="n">
        <v>446.55</v>
      </c>
      <c r="F99" s="4" t="n">
        <f aca="false">F98+D99-E99</f>
        <v>-1743.53</v>
      </c>
    </row>
    <row r="100" customFormat="false" ht="12.75" hidden="false" customHeight="false" outlineLevel="0" collapsed="false">
      <c r="B100" s="4" t="s">
        <v>203</v>
      </c>
      <c r="E100" s="4" t="n">
        <v>333.96</v>
      </c>
      <c r="F100" s="4" t="n">
        <f aca="false">F99+D100-E100</f>
        <v>-2077.49</v>
      </c>
    </row>
    <row r="101" customFormat="false" ht="12.75" hidden="false" customHeight="false" outlineLevel="0" collapsed="false">
      <c r="B101" s="4" t="s">
        <v>204</v>
      </c>
      <c r="E101" s="4" t="n">
        <v>324.51</v>
      </c>
      <c r="F101" s="4" t="n">
        <f aca="false">F100+D101-E101</f>
        <v>-2402</v>
      </c>
    </row>
    <row r="102" customFormat="false" ht="12.75" hidden="false" customHeight="false" outlineLevel="0" collapsed="false">
      <c r="B102" s="4" t="s">
        <v>205</v>
      </c>
      <c r="E102" s="4" t="n">
        <v>331.27</v>
      </c>
      <c r="F102" s="4" t="n">
        <f aca="false">F101+D102-E102</f>
        <v>-2733.27</v>
      </c>
    </row>
    <row r="103" customFormat="false" ht="12.75" hidden="false" customHeight="false" outlineLevel="0" collapsed="false">
      <c r="B103" s="4" t="s">
        <v>206</v>
      </c>
      <c r="D103" s="4" t="n">
        <v>50</v>
      </c>
      <c r="F103" s="4" t="n">
        <f aca="false">F102+D103-E103</f>
        <v>-2683.27</v>
      </c>
    </row>
    <row r="104" customFormat="false" ht="12.75" hidden="false" customHeight="false" outlineLevel="0" collapsed="false">
      <c r="B104" s="78" t="n">
        <v>44866</v>
      </c>
      <c r="C104" s="78"/>
      <c r="E104" s="4" t="n">
        <v>412.42</v>
      </c>
      <c r="F104" s="4" t="n">
        <f aca="false">F103+D104-E104</f>
        <v>-3095.69</v>
      </c>
    </row>
    <row r="105" customFormat="false" ht="12.75" hidden="false" customHeight="false" outlineLevel="0" collapsed="false">
      <c r="B105" s="4" t="s">
        <v>196</v>
      </c>
      <c r="E105" s="4" t="n">
        <v>426.12</v>
      </c>
      <c r="F105" s="4" t="n">
        <f aca="false">F104+D105-E105</f>
        <v>-3521.81</v>
      </c>
    </row>
    <row r="106" customFormat="false" ht="12.75" hidden="false" customHeight="false" outlineLevel="0" collapsed="false">
      <c r="B106" s="4" t="s">
        <v>207</v>
      </c>
      <c r="D106" s="4" t="n">
        <v>2000</v>
      </c>
      <c r="F106" s="4" t="n">
        <f aca="false">F105+D106-E106</f>
        <v>-1521.81</v>
      </c>
    </row>
    <row r="107" customFormat="false" ht="12.75" hidden="false" customHeight="false" outlineLevel="0" collapsed="false">
      <c r="B107" s="4" t="s">
        <v>208</v>
      </c>
      <c r="D107" s="4" t="n">
        <v>500</v>
      </c>
      <c r="F107" s="4" t="n">
        <f aca="false">F106+D107-E107</f>
        <v>-1021.81</v>
      </c>
    </row>
    <row r="108" customFormat="false" ht="12.75" hidden="false" customHeight="false" outlineLevel="0" collapsed="false">
      <c r="B108" s="4" t="s">
        <v>209</v>
      </c>
      <c r="F108" s="72" t="n">
        <f aca="false">F107+D108-E108</f>
        <v>-1021.81</v>
      </c>
    </row>
  </sheetData>
  <printOptions headings="false" gridLines="false" gridLinesSet="true" horizontalCentered="false" verticalCentered="false"/>
  <pageMargins left="0.39375" right="0.236111111111111" top="0.709027777777778" bottom="0.70625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5"/>
  <sheetViews>
    <sheetView showFormulas="false" showGridLines="true" showRowColHeaders="true" showZeros="true" rightToLeft="false" tabSelected="false" showOutlineSymbols="true" defaultGridColor="true" view="normal" topLeftCell="A9" colorId="64" zoomScale="140" zoomScaleNormal="140" zoomScalePageLayoutView="100" workbookViewId="0">
      <selection pane="topLeft" activeCell="F12" activeCellId="1" sqref="F84:F86 F12"/>
    </sheetView>
  </sheetViews>
  <sheetFormatPr defaultColWidth="8.66015625" defaultRowHeight="12.75" customHeight="false" zeroHeight="false" outlineLevelRow="0" outlineLevelCol="0"/>
  <cols>
    <col collapsed="false" customWidth="true" hidden="false" outlineLevel="0" max="1" min="1" style="0" width="9.29"/>
    <col collapsed="false" customWidth="true" hidden="false" outlineLevel="0" max="2" min="2" style="0" width="30.86"/>
    <col collapsed="false" customWidth="true" hidden="false" outlineLevel="0" max="3" min="3" style="0" width="8.86"/>
    <col collapsed="false" customWidth="true" hidden="false" outlineLevel="0" max="4" min="4" style="0" width="7.43"/>
    <col collapsed="false" customWidth="true" hidden="false" outlineLevel="0" max="5" min="5" style="0" width="11.57"/>
    <col collapsed="false" customWidth="true" hidden="false" outlineLevel="0" max="7" min="6" style="0" width="11.29"/>
    <col collapsed="false" customWidth="true" hidden="false" outlineLevel="0" max="8" min="8" style="0" width="12.71"/>
    <col collapsed="false" customWidth="true" hidden="false" outlineLevel="0" max="10" min="10" style="0" width="10.57"/>
  </cols>
  <sheetData>
    <row r="1" customFormat="false" ht="13.8" hidden="false" customHeight="false" outlineLevel="0" collapsed="false">
      <c r="A1" s="79"/>
      <c r="B1" s="80" t="s">
        <v>210</v>
      </c>
      <c r="C1" s="81"/>
      <c r="D1" s="82"/>
      <c r="E1" s="83"/>
      <c r="F1" s="84"/>
      <c r="G1" s="85"/>
      <c r="H1" s="85"/>
    </row>
    <row r="2" customFormat="false" ht="12.75" hidden="false" customHeight="false" outlineLevel="0" collapsed="false">
      <c r="A2" s="86"/>
      <c r="B2" s="87"/>
      <c r="C2" s="88"/>
      <c r="D2" s="89"/>
      <c r="E2" s="87"/>
      <c r="F2" s="90"/>
      <c r="G2" s="91"/>
      <c r="H2" s="91"/>
    </row>
    <row r="3" customFormat="false" ht="17.35" hidden="false" customHeight="false" outlineLevel="0" collapsed="false">
      <c r="A3" s="92" t="s">
        <v>211</v>
      </c>
      <c r="B3" s="83"/>
      <c r="C3" s="81"/>
      <c r="D3" s="82"/>
      <c r="E3" s="93"/>
      <c r="F3" s="94" t="n">
        <f aca="false">SUM(F7:F65)</f>
        <v>1041691.32948726</v>
      </c>
      <c r="G3" s="94" t="n">
        <f aca="false">SUM(G7:G65)</f>
        <v>655000</v>
      </c>
      <c r="H3" s="95" t="n">
        <f aca="false">F3-G3</f>
        <v>386691.329487261</v>
      </c>
    </row>
    <row r="4" customFormat="false" ht="17.35" hidden="false" customHeight="false" outlineLevel="0" collapsed="false">
      <c r="A4" s="92"/>
      <c r="B4" s="83"/>
      <c r="C4" s="81" t="s">
        <v>212</v>
      </c>
      <c r="D4" s="82"/>
      <c r="E4" s="83" t="s">
        <v>213</v>
      </c>
      <c r="F4" s="94"/>
      <c r="G4" s="94"/>
      <c r="H4" s="95"/>
    </row>
    <row r="5" customFormat="false" ht="12.75" hidden="false" customHeight="false" outlineLevel="0" collapsed="false">
      <c r="A5" s="96" t="s">
        <v>25</v>
      </c>
      <c r="B5" s="97" t="s">
        <v>26</v>
      </c>
      <c r="C5" s="98" t="s">
        <v>214</v>
      </c>
      <c r="D5" s="99" t="s">
        <v>215</v>
      </c>
      <c r="E5" s="100" t="s">
        <v>216</v>
      </c>
      <c r="F5" s="101" t="s">
        <v>217</v>
      </c>
      <c r="G5" s="102" t="s">
        <v>3</v>
      </c>
      <c r="H5" s="102" t="s">
        <v>28</v>
      </c>
    </row>
    <row r="6" customFormat="false" ht="12.75" hidden="false" customHeight="false" outlineLevel="0" collapsed="false">
      <c r="A6" s="79"/>
      <c r="B6" s="83"/>
      <c r="C6" s="81"/>
      <c r="D6" s="82"/>
      <c r="E6" s="83"/>
      <c r="F6" s="84"/>
      <c r="G6" s="85"/>
      <c r="H6" s="85" t="n">
        <f aca="false">H7+F6-G6</f>
        <v>386691.329487261</v>
      </c>
    </row>
    <row r="7" customFormat="false" ht="12.75" hidden="false" customHeight="false" outlineLevel="0" collapsed="false">
      <c r="A7" s="79"/>
      <c r="B7" s="83"/>
      <c r="C7" s="81"/>
      <c r="D7" s="82"/>
      <c r="E7" s="83"/>
      <c r="F7" s="84"/>
      <c r="G7" s="85"/>
      <c r="H7" s="85" t="n">
        <f aca="false">H8+F7-G7</f>
        <v>386691.329487261</v>
      </c>
    </row>
    <row r="8" customFormat="false" ht="12.75" hidden="false" customHeight="false" outlineLevel="0" collapsed="false">
      <c r="A8" s="79"/>
      <c r="C8" s="81"/>
      <c r="D8" s="82"/>
      <c r="E8" s="83"/>
      <c r="F8" s="84"/>
      <c r="G8" s="85"/>
      <c r="H8" s="85" t="n">
        <f aca="false">H9+F8-G8</f>
        <v>386691.329487261</v>
      </c>
    </row>
    <row r="9" customFormat="false" ht="12.75" hidden="false" customHeight="false" outlineLevel="0" collapsed="false">
      <c r="A9" s="79"/>
      <c r="B9" s="83"/>
      <c r="C9" s="81"/>
      <c r="D9" s="82"/>
      <c r="E9" s="83"/>
      <c r="F9" s="84"/>
      <c r="G9" s="85"/>
      <c r="H9" s="85" t="n">
        <f aca="false">H10+F9-G9</f>
        <v>386691.329487261</v>
      </c>
    </row>
    <row r="10" customFormat="false" ht="12.75" hidden="false" customHeight="false" outlineLevel="0" collapsed="false">
      <c r="A10" s="79"/>
      <c r="B10" s="83"/>
      <c r="C10" s="81"/>
      <c r="D10" s="82"/>
      <c r="E10" s="83"/>
      <c r="F10" s="84"/>
      <c r="G10" s="85"/>
      <c r="H10" s="85" t="n">
        <f aca="false">H11+F10-G10</f>
        <v>386691.329487261</v>
      </c>
    </row>
    <row r="11" customFormat="false" ht="12.75" hidden="false" customHeight="false" outlineLevel="0" collapsed="false">
      <c r="A11" s="79"/>
      <c r="B11" s="83"/>
      <c r="C11" s="81"/>
      <c r="D11" s="82"/>
      <c r="E11" s="83"/>
      <c r="F11" s="84"/>
      <c r="G11" s="85"/>
      <c r="H11" s="85" t="n">
        <f aca="false">H12+F11-G11</f>
        <v>386691.329487261</v>
      </c>
    </row>
    <row r="12" customFormat="false" ht="12.75" hidden="false" customHeight="false" outlineLevel="0" collapsed="false">
      <c r="A12" s="79"/>
      <c r="B12" s="83"/>
      <c r="C12" s="81"/>
      <c r="D12" s="82"/>
      <c r="E12" s="83"/>
      <c r="F12" s="84"/>
      <c r="G12" s="85"/>
      <c r="H12" s="85" t="n">
        <f aca="false">H13+F12-G12</f>
        <v>386691.329487261</v>
      </c>
    </row>
    <row r="13" customFormat="false" ht="12.75" hidden="false" customHeight="false" outlineLevel="0" collapsed="false">
      <c r="A13" s="79"/>
      <c r="B13" s="103"/>
      <c r="C13" s="81"/>
      <c r="D13" s="82"/>
      <c r="E13" s="84"/>
      <c r="F13" s="84"/>
      <c r="G13" s="85"/>
      <c r="H13" s="85" t="n">
        <f aca="false">H14+F13-G13</f>
        <v>386691.329487261</v>
      </c>
    </row>
    <row r="14" customFormat="false" ht="12.75" hidden="false" customHeight="false" outlineLevel="0" collapsed="false">
      <c r="A14" s="79"/>
      <c r="B14" s="103"/>
      <c r="C14" s="81"/>
      <c r="D14" s="82"/>
      <c r="E14" s="104"/>
      <c r="F14" s="84"/>
      <c r="G14" s="85"/>
      <c r="H14" s="85" t="n">
        <f aca="false">H15+F14-G14</f>
        <v>386691.329487261</v>
      </c>
    </row>
    <row r="15" customFormat="false" ht="12.75" hidden="false" customHeight="false" outlineLevel="0" collapsed="false">
      <c r="A15" s="79"/>
      <c r="B15" s="103"/>
      <c r="C15" s="81"/>
      <c r="D15" s="82"/>
      <c r="E15" s="84"/>
      <c r="F15" s="84"/>
      <c r="G15" s="85"/>
      <c r="H15" s="85" t="n">
        <f aca="false">H16+F15-G15</f>
        <v>386691.329487261</v>
      </c>
    </row>
    <row r="16" customFormat="false" ht="15" hidden="false" customHeight="false" outlineLevel="0" collapsed="false">
      <c r="A16" s="79"/>
      <c r="B16" s="105"/>
      <c r="C16" s="81"/>
      <c r="D16" s="82"/>
      <c r="E16" s="84"/>
      <c r="F16" s="106"/>
      <c r="G16" s="85"/>
      <c r="H16" s="85" t="n">
        <f aca="false">H17+F16-G16</f>
        <v>386691.329487261</v>
      </c>
    </row>
    <row r="17" customFormat="false" ht="13.8" hidden="false" customHeight="false" outlineLevel="0" collapsed="false">
      <c r="A17" s="79"/>
      <c r="B17" s="34" t="n">
        <v>46012</v>
      </c>
      <c r="C17" s="81"/>
      <c r="D17" s="82"/>
      <c r="E17" s="104"/>
      <c r="F17" s="84"/>
      <c r="G17" s="85"/>
      <c r="H17" s="85" t="n">
        <f aca="false">H18+F17-G17</f>
        <v>386691.329487261</v>
      </c>
    </row>
    <row r="18" customFormat="false" ht="12.75" hidden="false" customHeight="false" outlineLevel="0" collapsed="false">
      <c r="A18" s="79" t="n">
        <v>45991</v>
      </c>
      <c r="B18" s="103" t="s">
        <v>218</v>
      </c>
      <c r="C18" s="81"/>
      <c r="D18" s="82"/>
      <c r="E18" s="84"/>
      <c r="F18" s="84"/>
      <c r="G18" s="85" t="n">
        <v>301000</v>
      </c>
      <c r="H18" s="85" t="n">
        <f aca="false">H19+F18-G18</f>
        <v>386691.329487261</v>
      </c>
      <c r="J18" s="107"/>
    </row>
    <row r="19" customFormat="false" ht="12.75" hidden="false" customHeight="false" outlineLevel="0" collapsed="false">
      <c r="A19" s="79" t="n">
        <v>45991</v>
      </c>
      <c r="B19" s="103" t="s">
        <v>219</v>
      </c>
      <c r="C19" s="81" t="n">
        <v>2684.55</v>
      </c>
      <c r="D19" s="82" t="n">
        <v>0.35</v>
      </c>
      <c r="E19" s="104" t="n">
        <f aca="false">F20*D19</f>
        <v>185673.6</v>
      </c>
      <c r="F19" s="84" t="n">
        <f aca="false">IF(H20&lt;=0,,(H20*D19))</f>
        <v>178290.344681882</v>
      </c>
      <c r="G19" s="85"/>
      <c r="H19" s="85" t="n">
        <f aca="false">H20+F19-G19</f>
        <v>687691.329487261</v>
      </c>
    </row>
    <row r="20" customFormat="false" ht="12.75" hidden="false" customHeight="false" outlineLevel="0" collapsed="false">
      <c r="A20" s="79"/>
      <c r="B20" s="103" t="s">
        <v>220</v>
      </c>
      <c r="C20" s="81"/>
      <c r="D20" s="82"/>
      <c r="E20" s="84" t="n">
        <f aca="false">E24</f>
        <v>530496</v>
      </c>
      <c r="F20" s="84" t="n">
        <f aca="false">E20</f>
        <v>530496</v>
      </c>
      <c r="G20" s="85"/>
      <c r="H20" s="85" t="n">
        <f aca="false">H21+F20-G20</f>
        <v>509400.984805378</v>
      </c>
    </row>
    <row r="21" customFormat="false" ht="15" hidden="false" customHeight="false" outlineLevel="0" collapsed="false">
      <c r="A21" s="79"/>
      <c r="B21" s="105" t="s">
        <v>221</v>
      </c>
      <c r="C21" s="81"/>
      <c r="D21" s="82"/>
      <c r="E21" s="84"/>
      <c r="F21" s="106" t="n">
        <v>22000</v>
      </c>
      <c r="G21" s="85"/>
      <c r="H21" s="85" t="n">
        <f aca="false">H22+F21-G21</f>
        <v>-21095.0151946216</v>
      </c>
    </row>
    <row r="22" customFormat="false" ht="12.75" hidden="false" customHeight="false" outlineLevel="0" collapsed="false">
      <c r="A22" s="79" t="n">
        <v>45626</v>
      </c>
      <c r="C22" s="81"/>
      <c r="D22" s="82"/>
      <c r="E22" s="84"/>
      <c r="F22" s="84"/>
      <c r="G22" s="85" t="n">
        <v>219000</v>
      </c>
      <c r="H22" s="85" t="n">
        <f aca="false">H27+F22-G22</f>
        <v>-43095.0151946216</v>
      </c>
      <c r="I22" s="0" t="n">
        <v>240</v>
      </c>
      <c r="J22" s="0" t="n">
        <v>60</v>
      </c>
      <c r="K22" s="0" t="n">
        <f aca="false">I22*J22/100</f>
        <v>144</v>
      </c>
    </row>
    <row r="23" customFormat="false" ht="12.75" hidden="false" customHeight="false" outlineLevel="0" collapsed="false">
      <c r="A23" s="79"/>
      <c r="B23" s="108"/>
      <c r="C23" s="109" t="s">
        <v>222</v>
      </c>
      <c r="D23" s="109" t="s">
        <v>223</v>
      </c>
      <c r="E23" s="110" t="s">
        <v>224</v>
      </c>
      <c r="H23" s="85"/>
    </row>
    <row r="24" customFormat="false" ht="12.75" hidden="false" customHeight="false" outlineLevel="0" collapsed="false">
      <c r="A24" s="79"/>
      <c r="B24" s="111" t="s">
        <v>225</v>
      </c>
      <c r="C24" s="112" t="n">
        <v>24</v>
      </c>
      <c r="D24" s="112" t="n">
        <v>22104</v>
      </c>
      <c r="E24" s="113" t="n">
        <f aca="false">D24*C24</f>
        <v>530496</v>
      </c>
      <c r="H24" s="85"/>
    </row>
    <row r="25" customFormat="false" ht="12.75" hidden="false" customHeight="false" outlineLevel="0" collapsed="false">
      <c r="A25" s="79"/>
      <c r="B25" s="114"/>
      <c r="C25" s="115"/>
      <c r="D25" s="116" t="s">
        <v>226</v>
      </c>
      <c r="E25" s="117" t="n">
        <f aca="false">E24/12</f>
        <v>44208</v>
      </c>
      <c r="H25" s="85"/>
    </row>
    <row r="26" customFormat="false" ht="12.75" hidden="false" customHeight="false" outlineLevel="0" collapsed="false">
      <c r="A26" s="79"/>
      <c r="B26" s="103"/>
      <c r="C26" s="81"/>
      <c r="D26" s="82"/>
      <c r="E26" s="84"/>
      <c r="F26" s="84"/>
      <c r="G26" s="85"/>
      <c r="H26" s="85"/>
    </row>
    <row r="27" customFormat="false" ht="12.75" hidden="false" customHeight="false" outlineLevel="0" collapsed="false">
      <c r="A27" s="79"/>
      <c r="B27" s="103" t="s">
        <v>227</v>
      </c>
      <c r="C27" s="81"/>
      <c r="D27" s="82"/>
      <c r="E27" s="84"/>
      <c r="F27" s="84" t="n">
        <v>7080</v>
      </c>
      <c r="G27" s="85"/>
      <c r="H27" s="85" t="n">
        <f aca="false">H28+F27-G27</f>
        <v>175904.984805378</v>
      </c>
      <c r="K27" s="0" t="n">
        <f aca="false">K22+I22</f>
        <v>384</v>
      </c>
    </row>
    <row r="28" customFormat="false" ht="12.75" hidden="false" customHeight="false" outlineLevel="0" collapsed="false">
      <c r="A28" s="79" t="n">
        <v>45626</v>
      </c>
      <c r="B28" s="103" t="s">
        <v>228</v>
      </c>
      <c r="C28" s="118" t="n">
        <v>2657.23</v>
      </c>
      <c r="D28" s="82" t="n">
        <f aca="false">(C28/C30)-1</f>
        <v>0.0224401768433691</v>
      </c>
      <c r="E28" s="104" t="n">
        <f aca="false">C28</f>
        <v>2657.23</v>
      </c>
      <c r="F28" s="84" t="n">
        <f aca="false">H29*D28</f>
        <v>3705.31459973345</v>
      </c>
      <c r="G28" s="85"/>
      <c r="H28" s="85" t="n">
        <f aca="false">H29+F28-G28</f>
        <v>168824.984805378</v>
      </c>
      <c r="K28" s="0" t="n">
        <f aca="false">K27/12</f>
        <v>32</v>
      </c>
    </row>
    <row r="29" customFormat="false" ht="12.75" hidden="false" customHeight="false" outlineLevel="0" collapsed="false">
      <c r="A29" s="79"/>
      <c r="B29" s="103" t="s">
        <v>229</v>
      </c>
      <c r="C29" s="81"/>
      <c r="D29" s="82"/>
      <c r="E29" s="84" t="n">
        <f aca="false">E31+E30</f>
        <v>28469.0689176729</v>
      </c>
      <c r="F29" s="84" t="n">
        <f aca="false">E29</f>
        <v>28469.0689176729</v>
      </c>
      <c r="G29" s="85"/>
      <c r="H29" s="85" t="n">
        <f aca="false">H30+F29-G29</f>
        <v>165119.670205645</v>
      </c>
    </row>
    <row r="30" customFormat="false" ht="12.75" hidden="false" customHeight="false" outlineLevel="0" collapsed="false">
      <c r="A30" s="79" t="n">
        <v>45595</v>
      </c>
      <c r="B30" s="103" t="s">
        <v>230</v>
      </c>
      <c r="C30" s="118" t="n">
        <v>2598.91</v>
      </c>
      <c r="D30" s="82" t="n">
        <f aca="false">(C30/C32)-1</f>
        <v>0.0287986509168066</v>
      </c>
      <c r="E30" s="104" t="n">
        <f aca="false">F31*D30</f>
        <v>796.920541211778</v>
      </c>
      <c r="F30" s="84" t="n">
        <f aca="false">H31*D30</f>
        <v>3825.19257831167</v>
      </c>
      <c r="G30" s="85"/>
      <c r="H30" s="85" t="n">
        <f aca="false">H31+F30-G30</f>
        <v>136650.601287972</v>
      </c>
    </row>
    <row r="31" customFormat="false" ht="12.75" hidden="false" customHeight="false" outlineLevel="0" collapsed="false">
      <c r="A31" s="79"/>
      <c r="B31" s="103" t="s">
        <v>231</v>
      </c>
      <c r="C31" s="81"/>
      <c r="D31" s="82"/>
      <c r="E31" s="84" t="n">
        <f aca="false">E33+E32</f>
        <v>27672.1483764611</v>
      </c>
      <c r="F31" s="84" t="n">
        <f aca="false">E31</f>
        <v>27672.1483764611</v>
      </c>
      <c r="G31" s="85"/>
      <c r="H31" s="85" t="n">
        <f aca="false">H32+F31-G31</f>
        <v>132825.40870966</v>
      </c>
    </row>
    <row r="32" customFormat="false" ht="12.75" hidden="false" customHeight="false" outlineLevel="0" collapsed="false">
      <c r="A32" s="79" t="n">
        <v>45565</v>
      </c>
      <c r="B32" s="103" t="s">
        <v>232</v>
      </c>
      <c r="C32" s="119" t="n">
        <v>2526.16</v>
      </c>
      <c r="D32" s="82" t="n">
        <f aca="false">(C32/C34)-1</f>
        <v>0.0296819845598244</v>
      </c>
      <c r="E32" s="104" t="n">
        <f aca="false">F33*D32</f>
        <v>797.687337608815</v>
      </c>
      <c r="F32" s="84" t="n">
        <f aca="false">IF(H33&lt;=0,,(H33*D32))</f>
        <v>3031.18583837268</v>
      </c>
      <c r="G32" s="85"/>
      <c r="H32" s="85" t="n">
        <f aca="false">H33+F32-G32</f>
        <v>105153.260333199</v>
      </c>
    </row>
    <row r="33" customFormat="false" ht="12.75" hidden="false" customHeight="false" outlineLevel="0" collapsed="false">
      <c r="A33" s="79"/>
      <c r="B33" s="103" t="s">
        <v>233</v>
      </c>
      <c r="C33" s="81"/>
      <c r="D33" s="82"/>
      <c r="E33" s="84" t="n">
        <f aca="false">E35+E34</f>
        <v>26874.4610388523</v>
      </c>
      <c r="F33" s="84" t="n">
        <f aca="false">E33</f>
        <v>26874.4610388523</v>
      </c>
      <c r="G33" s="85"/>
      <c r="H33" s="85" t="n">
        <f aca="false">H34+F33-G33</f>
        <v>102122.074494827</v>
      </c>
    </row>
    <row r="34" customFormat="false" ht="12.75" hidden="false" customHeight="false" outlineLevel="0" collapsed="false">
      <c r="A34" s="79" t="n">
        <v>45534</v>
      </c>
      <c r="B34" s="103" t="s">
        <v>234</v>
      </c>
      <c r="C34" s="81" t="n">
        <v>2453.34</v>
      </c>
      <c r="D34" s="82" t="n">
        <f aca="false">(C34/C36)-1</f>
        <v>0.0247441627333864</v>
      </c>
      <c r="E34" s="104" t="n">
        <f aca="false">F35*D34</f>
        <v>648.928836582626</v>
      </c>
      <c r="F34" s="84" t="n">
        <f aca="false">IF(H35&lt;=0,,(H35*D34))</f>
        <v>1816.97955486478</v>
      </c>
      <c r="G34" s="85"/>
      <c r="H34" s="85" t="n">
        <f aca="false">H35+F34-G34</f>
        <v>75247.6134559744</v>
      </c>
    </row>
    <row r="35" customFormat="false" ht="12.75" hidden="false" customHeight="false" outlineLevel="0" collapsed="false">
      <c r="A35" s="79"/>
      <c r="B35" s="103" t="s">
        <v>235</v>
      </c>
      <c r="C35" s="81"/>
      <c r="D35" s="82"/>
      <c r="E35" s="84" t="n">
        <f aca="false">E37+E36</f>
        <v>26225.5322022696</v>
      </c>
      <c r="F35" s="84" t="n">
        <f aca="false">E35</f>
        <v>26225.5322022696</v>
      </c>
      <c r="G35" s="85"/>
      <c r="H35" s="85" t="n">
        <f aca="false">H36+F35-G35</f>
        <v>73430.6339011096</v>
      </c>
    </row>
    <row r="36" customFormat="false" ht="12.75" hidden="false" customHeight="false" outlineLevel="0" collapsed="false">
      <c r="A36" s="79" t="n">
        <v>45503</v>
      </c>
      <c r="B36" s="103" t="s">
        <v>236</v>
      </c>
      <c r="C36" s="81" t="n">
        <v>2394.1</v>
      </c>
      <c r="D36" s="82" t="n">
        <f aca="false">(C36/C38)-1</f>
        <v>0.0322555609690896</v>
      </c>
      <c r="E36" s="104" t="n">
        <f aca="false">F37*D36</f>
        <v>819.486263753303</v>
      </c>
      <c r="F36" s="84" t="n">
        <f aca="false">IF(H37&lt;=0,,(H37*D36))</f>
        <v>1475.04851847885</v>
      </c>
      <c r="G36" s="85"/>
      <c r="H36" s="85" t="n">
        <f aca="false">H37+F36-G36</f>
        <v>47205.10169884</v>
      </c>
    </row>
    <row r="37" customFormat="false" ht="12.75" hidden="false" customHeight="false" outlineLevel="0" collapsed="false">
      <c r="A37" s="79"/>
      <c r="B37" s="103" t="s">
        <v>237</v>
      </c>
      <c r="C37" s="81"/>
      <c r="D37" s="82"/>
      <c r="E37" s="84" t="n">
        <f aca="false">E39+E38</f>
        <v>25406.0459385163</v>
      </c>
      <c r="F37" s="84" t="n">
        <f aca="false">E37</f>
        <v>25406.0459385163</v>
      </c>
      <c r="G37" s="85"/>
      <c r="H37" s="85" t="n">
        <f aca="false">H38+F37-G37</f>
        <v>45730.0531803611</v>
      </c>
    </row>
    <row r="38" customFormat="false" ht="12.75" hidden="false" customHeight="false" outlineLevel="0" collapsed="false">
      <c r="A38" s="79" t="n">
        <v>45473</v>
      </c>
      <c r="B38" s="103" t="s">
        <v>238</v>
      </c>
      <c r="C38" s="81" t="n">
        <v>2319.29</v>
      </c>
      <c r="D38" s="82" t="n">
        <f aca="false">(C38/C40)-1</f>
        <v>0.0164077393343121</v>
      </c>
      <c r="E38" s="104" t="n">
        <f aca="false">F39*D38</f>
        <v>410.126530075174</v>
      </c>
      <c r="F38" s="84" t="n">
        <f aca="false">IF(H39&lt;=0,,(H39*D38))</f>
        <v>328.087833403614</v>
      </c>
      <c r="G38" s="85"/>
      <c r="H38" s="85" t="n">
        <f aca="false">H39+F38-G38</f>
        <v>20324.0072418448</v>
      </c>
    </row>
    <row r="39" customFormat="false" ht="12.75" hidden="false" customHeight="false" outlineLevel="0" collapsed="false">
      <c r="A39" s="79"/>
      <c r="B39" s="103" t="s">
        <v>239</v>
      </c>
      <c r="C39" s="81"/>
      <c r="D39" s="82"/>
      <c r="E39" s="84" t="n">
        <f aca="false">E41+E40</f>
        <v>24995.9194084412</v>
      </c>
      <c r="F39" s="84" t="n">
        <f aca="false">E39</f>
        <v>24995.9194084412</v>
      </c>
      <c r="G39" s="85"/>
      <c r="H39" s="85" t="n">
        <f aca="false">H40+F39-G39</f>
        <v>19995.9194084412</v>
      </c>
    </row>
    <row r="40" customFormat="false" ht="12.75" hidden="false" customHeight="false" outlineLevel="0" collapsed="false">
      <c r="A40" s="79" t="n">
        <v>45442</v>
      </c>
      <c r="B40" s="103" t="s">
        <v>240</v>
      </c>
      <c r="C40" s="81" t="n">
        <v>2281.85</v>
      </c>
      <c r="D40" s="82" t="n">
        <f aca="false">(C40/C42)-1</f>
        <v>0.0336806342015854</v>
      </c>
      <c r="E40" s="104" t="n">
        <f aca="false">F41*D40</f>
        <v>673.612684031708</v>
      </c>
      <c r="F40" s="84" t="n">
        <f aca="false">IF(H41&lt;=0,,(H41*D40))</f>
        <v>0</v>
      </c>
      <c r="G40" s="85"/>
      <c r="H40" s="85" t="n">
        <f aca="false">H41+F40-G40</f>
        <v>-5000</v>
      </c>
    </row>
    <row r="41" customFormat="false" ht="12.75" hidden="false" customHeight="false" outlineLevel="0" collapsed="false">
      <c r="A41" s="79"/>
      <c r="B41" s="103" t="s">
        <v>241</v>
      </c>
      <c r="C41" s="81"/>
      <c r="D41" s="82"/>
      <c r="E41" s="84" t="n">
        <f aca="false">E43+E42</f>
        <v>24322.3067244095</v>
      </c>
      <c r="F41" s="84" t="n">
        <f aca="false">F43</f>
        <v>20000</v>
      </c>
      <c r="G41" s="85"/>
      <c r="H41" s="85" t="n">
        <f aca="false">H42+F41-G41</f>
        <v>-5000</v>
      </c>
    </row>
    <row r="42" customFormat="false" ht="12.75" hidden="false" customHeight="false" outlineLevel="0" collapsed="false">
      <c r="A42" s="79" t="n">
        <v>45412</v>
      </c>
      <c r="B42" s="103" t="s">
        <v>242</v>
      </c>
      <c r="C42" s="81" t="n">
        <v>2207.5</v>
      </c>
      <c r="D42" s="82" t="n">
        <f aca="false">(C42/C44)-1</f>
        <v>0.0317975947314055</v>
      </c>
      <c r="E42" s="104" t="n">
        <f aca="false">F43*D42</f>
        <v>635.951894628111</v>
      </c>
      <c r="F42" s="84" t="n">
        <f aca="false">IF(H43&lt;=0,,(H43*D42))</f>
        <v>0</v>
      </c>
      <c r="G42" s="85"/>
      <c r="H42" s="85" t="n">
        <f aca="false">H43+F42-G42</f>
        <v>-25000</v>
      </c>
    </row>
    <row r="43" customFormat="false" ht="12.75" hidden="false" customHeight="false" outlineLevel="0" collapsed="false">
      <c r="A43" s="79"/>
      <c r="B43" s="103" t="s">
        <v>243</v>
      </c>
      <c r="C43" s="81"/>
      <c r="D43" s="82"/>
      <c r="E43" s="84" t="n">
        <f aca="false">E45+E44</f>
        <v>23686.3548297813</v>
      </c>
      <c r="F43" s="84" t="n">
        <f aca="false">F45</f>
        <v>20000</v>
      </c>
      <c r="G43" s="85"/>
      <c r="H43" s="85" t="n">
        <f aca="false">H44+F43-G43</f>
        <v>-25000</v>
      </c>
    </row>
    <row r="44" customFormat="false" ht="12.75" hidden="false" customHeight="false" outlineLevel="0" collapsed="false">
      <c r="A44" s="79" t="n">
        <v>45381</v>
      </c>
      <c r="B44" s="103" t="s">
        <v>244</v>
      </c>
      <c r="C44" s="81" t="n">
        <v>2139.47</v>
      </c>
      <c r="D44" s="82" t="n">
        <f aca="false">(C44/C46)-1</f>
        <v>0.0316267093563754</v>
      </c>
      <c r="E44" s="104" t="n">
        <f aca="false">E45*D44</f>
        <v>726.155549404924</v>
      </c>
      <c r="F44" s="84" t="n">
        <f aca="false">IF(H45&lt;=0,,(H45*D44))</f>
        <v>0</v>
      </c>
      <c r="G44" s="85"/>
      <c r="H44" s="85" t="n">
        <f aca="false">H45+F44-G44</f>
        <v>-45000</v>
      </c>
    </row>
    <row r="45" customFormat="false" ht="12.75" hidden="false" customHeight="false" outlineLevel="0" collapsed="false">
      <c r="A45" s="79"/>
      <c r="B45" s="103" t="s">
        <v>245</v>
      </c>
      <c r="C45" s="81"/>
      <c r="D45" s="82"/>
      <c r="E45" s="84" t="n">
        <f aca="false">E47+E46</f>
        <v>22960.1992803764</v>
      </c>
      <c r="F45" s="84" t="n">
        <f aca="false">F47</f>
        <v>20000</v>
      </c>
      <c r="G45" s="85"/>
      <c r="H45" s="85" t="n">
        <f aca="false">H46+F45-G45</f>
        <v>-45000</v>
      </c>
    </row>
    <row r="46" customFormat="false" ht="12.75" hidden="false" customHeight="false" outlineLevel="0" collapsed="false">
      <c r="A46" s="79" t="n">
        <v>45351</v>
      </c>
      <c r="B46" s="103" t="s">
        <v>246</v>
      </c>
      <c r="C46" s="81" t="n">
        <v>2073.88</v>
      </c>
      <c r="D46" s="82" t="n">
        <f aca="false">(C46/C48)-1</f>
        <v>0.0452918821382851</v>
      </c>
      <c r="E46" s="104" t="n">
        <f aca="false">E47*D46</f>
        <v>994.851923609192</v>
      </c>
      <c r="F46" s="84" t="n">
        <f aca="false">IF(H47&lt;=0,,(H47*D46))</f>
        <v>0</v>
      </c>
      <c r="G46" s="85"/>
      <c r="H46" s="85" t="n">
        <f aca="false">H47+F46-G46</f>
        <v>-65000</v>
      </c>
    </row>
    <row r="47" customFormat="false" ht="12.75" hidden="false" customHeight="false" outlineLevel="0" collapsed="false">
      <c r="A47" s="86"/>
      <c r="B47" s="120" t="s">
        <v>247</v>
      </c>
      <c r="C47" s="88"/>
      <c r="D47" s="89"/>
      <c r="E47" s="90" t="n">
        <f aca="false">E50+E48</f>
        <v>21965.3473567672</v>
      </c>
      <c r="F47" s="121" t="n">
        <f aca="false">F50</f>
        <v>20000</v>
      </c>
      <c r="G47" s="91"/>
      <c r="H47" s="91" t="n">
        <f aca="false">H48+F47-G47</f>
        <v>-65000</v>
      </c>
    </row>
    <row r="48" customFormat="false" ht="12.75" hidden="false" customHeight="false" outlineLevel="0" collapsed="false">
      <c r="A48" s="79" t="n">
        <v>45321</v>
      </c>
      <c r="B48" s="103" t="s">
        <v>248</v>
      </c>
      <c r="C48" s="81" t="n">
        <v>1984.02</v>
      </c>
      <c r="D48" s="82" t="n">
        <f aca="false">(C48/C51)-1</f>
        <v>0.0670330970538566</v>
      </c>
      <c r="E48" s="104" t="n">
        <f aca="false">E50*D48</f>
        <v>1379.9058953778</v>
      </c>
      <c r="F48" s="84" t="n">
        <f aca="false">IF(H49&lt;=0,,(H49*D48))</f>
        <v>0</v>
      </c>
      <c r="G48" s="85"/>
      <c r="H48" s="85" t="n">
        <f aca="false">H49+F48-G48</f>
        <v>-85000</v>
      </c>
    </row>
    <row r="49" customFormat="false" ht="12.75" hidden="false" customHeight="false" outlineLevel="0" collapsed="false">
      <c r="A49" s="79"/>
      <c r="B49" s="103" t="s">
        <v>249</v>
      </c>
      <c r="C49" s="81"/>
      <c r="D49" s="82"/>
      <c r="E49" s="84"/>
      <c r="F49" s="84" t="n">
        <v>10000</v>
      </c>
      <c r="G49" s="85"/>
      <c r="H49" s="85" t="n">
        <f aca="false">H50+F49-G49</f>
        <v>-85000</v>
      </c>
    </row>
    <row r="50" customFormat="false" ht="12.75" hidden="false" customHeight="false" outlineLevel="0" collapsed="false">
      <c r="A50" s="86"/>
      <c r="B50" s="120" t="s">
        <v>250</v>
      </c>
      <c r="C50" s="88"/>
      <c r="D50" s="89"/>
      <c r="E50" s="90" t="n">
        <f aca="false">F52+E51</f>
        <v>20585.4414613894</v>
      </c>
      <c r="F50" s="121" t="n">
        <f aca="false">F52</f>
        <v>20000</v>
      </c>
      <c r="G50" s="91"/>
      <c r="H50" s="91" t="n">
        <f aca="false">H51+F50-G50</f>
        <v>-95000</v>
      </c>
    </row>
    <row r="51" customFormat="false" ht="12.75" hidden="false" customHeight="false" outlineLevel="0" collapsed="false">
      <c r="A51" s="79" t="n">
        <v>45290</v>
      </c>
      <c r="B51" s="103" t="s">
        <v>251</v>
      </c>
      <c r="C51" s="81" t="n">
        <v>1859.38</v>
      </c>
      <c r="D51" s="82" t="n">
        <f aca="false">(C51/C54)-1</f>
        <v>0.0292720730694713</v>
      </c>
      <c r="E51" s="104" t="n">
        <f aca="false">F52*D51</f>
        <v>585.441461389427</v>
      </c>
      <c r="F51" s="84" t="n">
        <f aca="false">IF(H52&lt;=0,,(H52*D51))</f>
        <v>0</v>
      </c>
      <c r="G51" s="85"/>
      <c r="H51" s="85" t="n">
        <f aca="false">H52+F51-G51</f>
        <v>-115000</v>
      </c>
    </row>
    <row r="52" customFormat="false" ht="12.75" hidden="false" customHeight="false" outlineLevel="0" collapsed="false">
      <c r="A52" s="86"/>
      <c r="B52" s="120" t="s">
        <v>252</v>
      </c>
      <c r="C52" s="88"/>
      <c r="D52" s="89"/>
      <c r="E52" s="87"/>
      <c r="F52" s="90" t="n">
        <v>20000</v>
      </c>
      <c r="G52" s="91"/>
      <c r="H52" s="91" t="n">
        <f aca="false">H53+F52-G52</f>
        <v>-115000</v>
      </c>
    </row>
    <row r="53" customFormat="false" ht="12.75" hidden="false" customHeight="false" outlineLevel="0" collapsed="false">
      <c r="A53" s="79"/>
      <c r="B53" s="103"/>
      <c r="C53" s="81"/>
      <c r="D53" s="82"/>
      <c r="E53" s="83"/>
      <c r="F53" s="84"/>
      <c r="G53" s="85" t="n">
        <v>135000</v>
      </c>
      <c r="H53" s="85" t="n">
        <f aca="false">H55+F53-G53</f>
        <v>-135000</v>
      </c>
    </row>
    <row r="54" customFormat="false" ht="12.75" hidden="false" customHeight="false" outlineLevel="0" collapsed="false">
      <c r="A54" s="79" t="n">
        <v>45260</v>
      </c>
      <c r="B54" s="103" t="s">
        <v>253</v>
      </c>
      <c r="C54" s="81" t="n">
        <v>1806.5</v>
      </c>
      <c r="D54" s="82"/>
      <c r="E54" s="104"/>
      <c r="F54" s="84"/>
      <c r="G54" s="85"/>
      <c r="H54" s="85"/>
    </row>
    <row r="55" customFormat="false" ht="12.75" hidden="false" customHeight="false" outlineLevel="0" collapsed="false">
      <c r="A55" s="79"/>
      <c r="B55" s="103"/>
      <c r="C55" s="81"/>
      <c r="D55" s="82"/>
      <c r="E55" s="84"/>
      <c r="F55" s="84"/>
      <c r="G55" s="85"/>
      <c r="H55" s="85"/>
    </row>
    <row r="56" customFormat="false" ht="12.75" hidden="false" customHeight="false" outlineLevel="0" collapsed="false">
      <c r="A56" s="79"/>
      <c r="B56" s="85"/>
      <c r="C56" s="81"/>
      <c r="D56" s="82"/>
      <c r="E56" s="83"/>
      <c r="F56" s="84"/>
      <c r="G56" s="85"/>
      <c r="H56" s="85"/>
    </row>
    <row r="57" customFormat="false" ht="12.75" hidden="false" customHeight="false" outlineLevel="0" collapsed="false">
      <c r="A57" s="79"/>
      <c r="B57" s="103"/>
      <c r="C57" s="81"/>
      <c r="D57" s="82"/>
      <c r="E57" s="104"/>
      <c r="F57" s="84"/>
      <c r="G57" s="85"/>
      <c r="H57" s="85"/>
    </row>
    <row r="58" customFormat="false" ht="12.75" hidden="false" customHeight="false" outlineLevel="0" collapsed="false">
      <c r="A58" s="79"/>
      <c r="B58" s="103"/>
      <c r="C58" s="81"/>
      <c r="D58" s="82"/>
      <c r="E58" s="84"/>
      <c r="F58" s="84"/>
      <c r="G58" s="85"/>
      <c r="H58" s="85"/>
    </row>
    <row r="59" customFormat="false" ht="12.75" hidden="false" customHeight="false" outlineLevel="0" collapsed="false">
      <c r="A59" s="79"/>
      <c r="B59" s="103"/>
      <c r="C59" s="81"/>
      <c r="D59" s="82"/>
      <c r="E59" s="83"/>
      <c r="F59" s="84"/>
      <c r="G59" s="85"/>
      <c r="H59" s="85"/>
    </row>
    <row r="60" customFormat="false" ht="12.75" hidden="false" customHeight="false" outlineLevel="0" collapsed="false">
      <c r="A60" s="79"/>
      <c r="B60" s="103"/>
      <c r="C60" s="81"/>
      <c r="D60" s="82"/>
      <c r="E60" s="83"/>
      <c r="F60" s="84"/>
      <c r="G60" s="85"/>
      <c r="H60" s="85"/>
    </row>
    <row r="61" customFormat="false" ht="12.75" hidden="false" customHeight="false" outlineLevel="0" collapsed="false">
      <c r="A61" s="79"/>
      <c r="B61" s="103"/>
      <c r="C61" s="81"/>
      <c r="D61" s="82"/>
      <c r="E61" s="83"/>
      <c r="F61" s="84"/>
      <c r="G61" s="85"/>
      <c r="H61" s="85"/>
    </row>
    <row r="62" customFormat="false" ht="12.75" hidden="false" customHeight="false" outlineLevel="0" collapsed="false">
      <c r="A62" s="79"/>
      <c r="B62" s="85"/>
      <c r="C62" s="81"/>
      <c r="D62" s="82"/>
      <c r="E62" s="83"/>
      <c r="F62" s="84"/>
      <c r="G62" s="85"/>
      <c r="H62" s="85"/>
    </row>
    <row r="63" customFormat="false" ht="12.75" hidden="false" customHeight="false" outlineLevel="0" collapsed="false">
      <c r="A63" s="79"/>
      <c r="B63" s="103"/>
      <c r="C63" s="81"/>
      <c r="D63" s="82"/>
      <c r="E63" s="104"/>
      <c r="F63" s="84"/>
      <c r="G63" s="122"/>
      <c r="H63" s="85"/>
    </row>
    <row r="64" customFormat="false" ht="12.75" hidden="false" customHeight="false" outlineLevel="0" collapsed="false">
      <c r="A64" s="79"/>
      <c r="B64" s="103"/>
      <c r="C64" s="81"/>
      <c r="D64" s="82"/>
      <c r="E64" s="84"/>
      <c r="F64" s="84"/>
      <c r="G64" s="122"/>
      <c r="H64" s="85"/>
    </row>
    <row r="65" customFormat="false" ht="12.75" hidden="false" customHeight="false" outlineLevel="0" collapsed="false">
      <c r="A65" s="79"/>
      <c r="B65" s="85"/>
      <c r="C65" s="81"/>
      <c r="D65" s="82"/>
      <c r="E65" s="83"/>
      <c r="F65" s="84"/>
      <c r="G65" s="85"/>
      <c r="H65" s="8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12" activeCellId="1" sqref="F84:F86 B12"/>
    </sheetView>
  </sheetViews>
  <sheetFormatPr defaultColWidth="8.66015625" defaultRowHeight="12.75" customHeight="false" zeroHeight="false" outlineLevelRow="0" outlineLevelCol="0"/>
  <cols>
    <col collapsed="false" customWidth="true" hidden="false" outlineLevel="0" max="1" min="1" style="9" width="13"/>
    <col collapsed="false" customWidth="true" hidden="false" outlineLevel="0" max="2" min="2" style="4" width="32"/>
    <col collapsed="false" customWidth="true" hidden="false" outlineLevel="0" max="4" min="3" style="4" width="7.29"/>
    <col collapsed="false" customWidth="true" hidden="false" outlineLevel="0" max="5" min="5" style="4" width="12.57"/>
    <col collapsed="false" customWidth="true" hidden="false" outlineLevel="0" max="6" min="6" style="4" width="12.14"/>
    <col collapsed="false" customWidth="true" hidden="false" outlineLevel="0" max="7" min="7" style="4" width="13"/>
    <col collapsed="false" customWidth="true" hidden="false" outlineLevel="0" max="8" min="8" style="4" width="10.57"/>
    <col collapsed="false" customWidth="true" hidden="false" outlineLevel="0" max="9" min="9" style="4" width="11.29"/>
    <col collapsed="false" customWidth="true" hidden="false" outlineLevel="0" max="61" min="10" style="0" width="12.14"/>
    <col collapsed="false" customWidth="true" hidden="false" outlineLevel="0" max="62" min="62" style="0" width="9.14"/>
  </cols>
  <sheetData>
    <row r="1" customFormat="false" ht="17.9" hidden="false" customHeight="false" outlineLevel="0" collapsed="false">
      <c r="B1" s="123" t="s">
        <v>254</v>
      </c>
      <c r="C1" s="10"/>
      <c r="D1" s="10"/>
      <c r="G1" s="12" t="s">
        <v>255</v>
      </c>
    </row>
    <row r="2" customFormat="false" ht="12.75" hidden="false" customHeight="false" outlineLevel="0" collapsed="false">
      <c r="B2" s="10"/>
      <c r="C2" s="10"/>
      <c r="D2" s="10"/>
    </row>
    <row r="3" customFormat="false" ht="12.75" hidden="false" customHeight="false" outlineLevel="0" collapsed="false">
      <c r="A3" s="13" t="s">
        <v>25</v>
      </c>
      <c r="B3" s="14" t="s">
        <v>26</v>
      </c>
      <c r="C3" s="14"/>
      <c r="D3" s="14"/>
      <c r="E3" s="16" t="s">
        <v>27</v>
      </c>
      <c r="F3" s="16" t="s">
        <v>3</v>
      </c>
      <c r="G3" s="16" t="s">
        <v>28</v>
      </c>
    </row>
    <row r="4" customFormat="false" ht="12.75" hidden="false" customHeight="false" outlineLevel="0" collapsed="false">
      <c r="B4" s="17" t="s">
        <v>20</v>
      </c>
      <c r="C4" s="23"/>
      <c r="D4" s="23"/>
      <c r="E4" s="20" t="n">
        <f aca="false">SUM(E9:E20)</f>
        <v>132624</v>
      </c>
      <c r="F4" s="21" t="n">
        <f aca="false">SUM(F9:F20)</f>
        <v>0</v>
      </c>
      <c r="G4" s="22" t="n">
        <f aca="false">G20</f>
        <v>132624</v>
      </c>
    </row>
    <row r="5" customFormat="false" ht="12.75" hidden="false" customHeight="false" outlineLevel="0" collapsed="false">
      <c r="B5" s="23" t="s">
        <v>29</v>
      </c>
      <c r="C5" s="23"/>
      <c r="D5" s="23"/>
      <c r="E5" s="24" t="n">
        <f aca="false">G40</f>
        <v>0</v>
      </c>
    </row>
    <row r="6" customFormat="false" ht="12.75" hidden="false" customHeight="false" outlineLevel="0" collapsed="false">
      <c r="B6" s="23" t="s">
        <v>5</v>
      </c>
      <c r="E6" s="25" t="n">
        <f aca="false">G37</f>
        <v>-800</v>
      </c>
      <c r="F6" s="23"/>
      <c r="G6" s="12"/>
    </row>
    <row r="7" customFormat="false" ht="12.75" hidden="false" customHeight="false" outlineLevel="0" collapsed="false">
      <c r="A7" s="26"/>
      <c r="B7" s="27"/>
      <c r="C7" s="30"/>
      <c r="D7" s="30"/>
      <c r="E7" s="27"/>
      <c r="F7" s="124" t="s">
        <v>30</v>
      </c>
      <c r="G7" s="31" t="n">
        <f aca="false">F4-E5</f>
        <v>0</v>
      </c>
    </row>
    <row r="8" customFormat="false" ht="12.75" hidden="false" customHeight="false" outlineLevel="0" collapsed="false">
      <c r="B8" s="23" t="s">
        <v>31</v>
      </c>
    </row>
    <row r="9" customFormat="false" ht="12.75" hidden="false" customHeight="false" outlineLevel="0" collapsed="false">
      <c r="A9" s="9" t="n">
        <v>45806</v>
      </c>
      <c r="B9" s="4" t="s">
        <v>256</v>
      </c>
      <c r="C9" s="4" t="n">
        <v>6</v>
      </c>
      <c r="D9" s="4" t="n">
        <v>22104</v>
      </c>
      <c r="E9" s="59" t="n">
        <f aca="false">D9*C9</f>
        <v>132624</v>
      </c>
      <c r="F9" s="33"/>
      <c r="G9" s="4" t="n">
        <f aca="false">E9-F9</f>
        <v>132624</v>
      </c>
    </row>
    <row r="10" customFormat="false" ht="12.75" hidden="false" customHeight="false" outlineLevel="0" collapsed="false">
      <c r="B10" s="23"/>
      <c r="E10" s="59"/>
      <c r="F10" s="33"/>
      <c r="G10" s="4" t="n">
        <f aca="false">E10-F10+G9</f>
        <v>132624</v>
      </c>
    </row>
    <row r="11" customFormat="false" ht="12.75" hidden="false" customHeight="false" outlineLevel="0" collapsed="false">
      <c r="E11" s="59"/>
      <c r="F11" s="33"/>
      <c r="G11" s="4" t="n">
        <f aca="false">E11-F11+G10</f>
        <v>132624</v>
      </c>
    </row>
    <row r="12" customFormat="false" ht="13.8" hidden="false" customHeight="false" outlineLevel="0" collapsed="false">
      <c r="B12" s="34" t="n">
        <v>45739</v>
      </c>
      <c r="C12" s="125"/>
      <c r="D12" s="125"/>
      <c r="E12" s="59"/>
      <c r="F12" s="33"/>
      <c r="G12" s="4" t="n">
        <f aca="false">E12-F12+G11</f>
        <v>132624</v>
      </c>
    </row>
    <row r="13" customFormat="false" ht="12.75" hidden="false" customHeight="false" outlineLevel="0" collapsed="false">
      <c r="C13" s="125"/>
      <c r="D13" s="125"/>
      <c r="E13" s="59"/>
      <c r="F13" s="33"/>
      <c r="G13" s="4" t="n">
        <f aca="false">E13-F13+G12</f>
        <v>132624</v>
      </c>
    </row>
    <row r="14" customFormat="false" ht="12.75" hidden="false" customHeight="false" outlineLevel="0" collapsed="false">
      <c r="C14" s="125"/>
      <c r="D14" s="125"/>
      <c r="E14" s="36"/>
      <c r="F14" s="37"/>
      <c r="G14" s="4" t="n">
        <f aca="false">E14-F14+G13</f>
        <v>132624</v>
      </c>
    </row>
    <row r="15" customFormat="false" ht="12.75" hidden="false" customHeight="false" outlineLevel="0" collapsed="false">
      <c r="C15" s="125"/>
      <c r="D15" s="125"/>
      <c r="E15" s="36"/>
      <c r="F15" s="37"/>
      <c r="G15" s="4" t="n">
        <f aca="false">E15-F15+G14</f>
        <v>132624</v>
      </c>
    </row>
    <row r="16" customFormat="false" ht="12.75" hidden="false" customHeight="false" outlineLevel="0" collapsed="false">
      <c r="A16" s="35"/>
      <c r="E16" s="36"/>
      <c r="F16" s="37"/>
      <c r="G16" s="4" t="n">
        <f aca="false">E16-F16+G15</f>
        <v>132624</v>
      </c>
    </row>
    <row r="17" customFormat="false" ht="12.75" hidden="false" customHeight="false" outlineLevel="0" collapsed="false">
      <c r="A17" s="35"/>
      <c r="E17" s="36"/>
      <c r="F17" s="37"/>
      <c r="G17" s="4" t="n">
        <f aca="false">E17-F17+G16</f>
        <v>132624</v>
      </c>
    </row>
    <row r="18" customFormat="false" ht="12.75" hidden="false" customHeight="false" outlineLevel="0" collapsed="false">
      <c r="A18" s="35"/>
      <c r="E18" s="36"/>
      <c r="F18" s="37"/>
      <c r="G18" s="4" t="n">
        <f aca="false">E18-F18+G17</f>
        <v>132624</v>
      </c>
    </row>
    <row r="19" customFormat="false" ht="12.75" hidden="false" customHeight="false" outlineLevel="0" collapsed="false">
      <c r="A19" s="35"/>
      <c r="E19" s="36"/>
      <c r="F19" s="37"/>
      <c r="G19" s="4" t="n">
        <f aca="false">E19-F19+G18</f>
        <v>132624</v>
      </c>
    </row>
    <row r="20" customFormat="false" ht="12.75" hidden="false" customHeight="false" outlineLevel="0" collapsed="false">
      <c r="A20" s="35"/>
      <c r="E20" s="36"/>
      <c r="F20" s="37"/>
      <c r="G20" s="38" t="n">
        <f aca="false">E20-F20+G19</f>
        <v>132624</v>
      </c>
    </row>
    <row r="21" customFormat="false" ht="12.75" hidden="false" customHeight="false" outlineLevel="0" collapsed="false">
      <c r="A21" s="35"/>
      <c r="E21" s="39"/>
      <c r="F21" s="19"/>
      <c r="G21" s="19"/>
    </row>
    <row r="22" customFormat="false" ht="12.75" hidden="false" customHeight="false" outlineLevel="0" collapsed="false">
      <c r="A22" s="35"/>
      <c r="E22" s="39"/>
      <c r="F22" s="19"/>
      <c r="G22" s="19"/>
    </row>
    <row r="23" customFormat="false" ht="12.75" hidden="false" customHeight="false" outlineLevel="0" collapsed="false">
      <c r="A23" s="40" t="s">
        <v>36</v>
      </c>
      <c r="B23" s="27" t="s">
        <v>117</v>
      </c>
      <c r="C23" s="27" t="s">
        <v>118</v>
      </c>
      <c r="D23" s="27"/>
      <c r="E23" s="41" t="s">
        <v>39</v>
      </c>
      <c r="F23" s="28"/>
      <c r="G23" s="28" t="s">
        <v>257</v>
      </c>
    </row>
    <row r="24" customFormat="false" ht="12.75" hidden="false" customHeight="false" outlineLevel="0" collapsed="false">
      <c r="A24" s="35"/>
      <c r="B24" s="4" t="s">
        <v>41</v>
      </c>
      <c r="E24" s="39"/>
      <c r="F24" s="19"/>
      <c r="G24" s="19" t="n">
        <v>-800</v>
      </c>
    </row>
    <row r="25" customFormat="false" ht="12.75" hidden="false" customHeight="false" outlineLevel="0" collapsed="false">
      <c r="A25" s="35"/>
      <c r="B25" s="4" t="s">
        <v>119</v>
      </c>
      <c r="C25" s="4" t="n">
        <v>0</v>
      </c>
      <c r="E25" s="19"/>
      <c r="F25" s="19"/>
      <c r="G25" s="19" t="n">
        <f aca="false">E25-F25+G24</f>
        <v>-800</v>
      </c>
    </row>
    <row r="26" customFormat="false" ht="12.75" hidden="false" customHeight="false" outlineLevel="0" collapsed="false">
      <c r="A26" s="35"/>
      <c r="B26" s="4" t="s">
        <v>120</v>
      </c>
      <c r="C26" s="4" t="n">
        <v>0</v>
      </c>
      <c r="E26" s="19"/>
      <c r="F26" s="19"/>
      <c r="G26" s="19" t="n">
        <f aca="false">E26-F26+G25</f>
        <v>-800</v>
      </c>
    </row>
    <row r="27" customFormat="false" ht="12.75" hidden="false" customHeight="false" outlineLevel="0" collapsed="false">
      <c r="A27" s="35"/>
      <c r="B27" s="4" t="s">
        <v>121</v>
      </c>
      <c r="E27" s="19"/>
      <c r="F27" s="19"/>
      <c r="G27" s="19" t="n">
        <f aca="false">E27-F27+G26</f>
        <v>-800</v>
      </c>
    </row>
    <row r="28" customFormat="false" ht="12.75" hidden="false" customHeight="false" outlineLevel="0" collapsed="false">
      <c r="A28" s="35"/>
      <c r="B28" s="4" t="s">
        <v>122</v>
      </c>
      <c r="E28" s="19"/>
      <c r="F28" s="19"/>
      <c r="G28" s="19" t="n">
        <f aca="false">E28-F28+G27</f>
        <v>-800</v>
      </c>
    </row>
    <row r="29" customFormat="false" ht="12.75" hidden="false" customHeight="false" outlineLevel="0" collapsed="false">
      <c r="A29" s="35"/>
      <c r="B29" s="4" t="s">
        <v>123</v>
      </c>
      <c r="E29" s="19"/>
      <c r="F29" s="19"/>
      <c r="G29" s="19" t="n">
        <f aca="false">E29-F29+G28</f>
        <v>-800</v>
      </c>
    </row>
    <row r="30" customFormat="false" ht="12.75" hidden="false" customHeight="false" outlineLevel="0" collapsed="false">
      <c r="A30" s="35"/>
      <c r="B30" s="4" t="s">
        <v>124</v>
      </c>
      <c r="E30" s="19"/>
      <c r="F30" s="19"/>
      <c r="G30" s="19" t="n">
        <f aca="false">E30-F30+G29</f>
        <v>-800</v>
      </c>
    </row>
    <row r="31" customFormat="false" ht="12.75" hidden="false" customHeight="false" outlineLevel="0" collapsed="false">
      <c r="A31" s="35"/>
      <c r="B31" s="4" t="s">
        <v>125</v>
      </c>
      <c r="E31" s="19"/>
      <c r="F31" s="19"/>
      <c r="G31" s="19" t="n">
        <f aca="false">E31-F31+G30</f>
        <v>-800</v>
      </c>
    </row>
    <row r="32" customFormat="false" ht="12.75" hidden="false" customHeight="false" outlineLevel="0" collapsed="false">
      <c r="A32" s="35"/>
      <c r="B32" s="4" t="s">
        <v>126</v>
      </c>
      <c r="E32" s="19"/>
      <c r="F32" s="19"/>
      <c r="G32" s="19" t="n">
        <f aca="false">E32-F32+G31</f>
        <v>-800</v>
      </c>
    </row>
    <row r="33" customFormat="false" ht="12.75" hidden="false" customHeight="false" outlineLevel="0" collapsed="false">
      <c r="A33" s="35"/>
      <c r="B33" s="4" t="s">
        <v>127</v>
      </c>
      <c r="E33" s="39"/>
      <c r="F33" s="19"/>
      <c r="G33" s="19" t="n">
        <f aca="false">E33-F33+G32</f>
        <v>-800</v>
      </c>
    </row>
    <row r="34" customFormat="false" ht="12.75" hidden="false" customHeight="false" outlineLevel="0" collapsed="false">
      <c r="A34" s="35"/>
      <c r="B34" s="4" t="s">
        <v>128</v>
      </c>
      <c r="E34" s="39"/>
      <c r="F34" s="19"/>
      <c r="G34" s="19" t="n">
        <f aca="false">E34-F34+G33</f>
        <v>-800</v>
      </c>
    </row>
    <row r="35" customFormat="false" ht="12.75" hidden="false" customHeight="false" outlineLevel="0" collapsed="false">
      <c r="A35" s="35"/>
      <c r="B35" s="4" t="s">
        <v>129</v>
      </c>
      <c r="E35" s="39"/>
      <c r="F35" s="19"/>
      <c r="G35" s="19" t="n">
        <f aca="false">E35-F35+G34</f>
        <v>-800</v>
      </c>
    </row>
    <row r="36" customFormat="false" ht="12.75" hidden="false" customHeight="false" outlineLevel="0" collapsed="false">
      <c r="A36" s="40"/>
      <c r="B36" s="27" t="s">
        <v>130</v>
      </c>
      <c r="C36" s="27"/>
      <c r="D36" s="27"/>
      <c r="E36" s="41"/>
      <c r="F36" s="28"/>
      <c r="G36" s="28" t="n">
        <f aca="false">E36-F36+G35</f>
        <v>-800</v>
      </c>
    </row>
    <row r="37" customFormat="false" ht="12.75" hidden="false" customHeight="false" outlineLevel="0" collapsed="false">
      <c r="A37" s="42" t="n">
        <v>45291</v>
      </c>
      <c r="B37" s="43" t="s">
        <v>41</v>
      </c>
      <c r="C37" s="43" t="n">
        <f aca="false">SUM(C25:C36)</f>
        <v>0</v>
      </c>
      <c r="D37" s="43"/>
      <c r="E37" s="45"/>
      <c r="F37" s="46"/>
      <c r="G37" s="47" t="n">
        <f aca="false">E37-F37+G36</f>
        <v>-800</v>
      </c>
    </row>
    <row r="38" customFormat="false" ht="12.75" hidden="false" customHeight="false" outlineLevel="0" collapsed="false">
      <c r="A38" s="35"/>
      <c r="E38" s="39"/>
      <c r="F38" s="39"/>
      <c r="G38" s="39"/>
    </row>
    <row r="40" customFormat="false" ht="12.75" hidden="false" customHeight="false" outlineLevel="0" collapsed="false">
      <c r="A40" s="48" t="s">
        <v>258</v>
      </c>
      <c r="B40" s="49" t="s">
        <v>58</v>
      </c>
      <c r="C40" s="49"/>
      <c r="D40" s="49"/>
      <c r="E40" s="68"/>
      <c r="F40" s="29"/>
      <c r="G40" s="52" t="n">
        <f aca="false">SUM(F41:F63)</f>
        <v>0</v>
      </c>
    </row>
    <row r="41" customFormat="false" ht="12.75" hidden="false" customHeight="false" outlineLevel="0" collapsed="false">
      <c r="B41" s="10"/>
      <c r="C41" s="10"/>
      <c r="D41" s="10"/>
    </row>
    <row r="42" customFormat="false" ht="12.75" hidden="false" customHeight="false" outlineLevel="0" collapsed="false">
      <c r="A42" s="69"/>
      <c r="B42" s="71" t="s">
        <v>259</v>
      </c>
      <c r="C42" s="71"/>
      <c r="D42" s="71"/>
      <c r="E42" s="67"/>
      <c r="F42" s="67"/>
      <c r="G42" s="67"/>
    </row>
    <row r="43" customFormat="false" ht="12.75" hidden="false" customHeight="false" outlineLevel="0" collapsed="false">
      <c r="B43" s="10"/>
      <c r="C43" s="10"/>
      <c r="D43" s="10"/>
    </row>
    <row r="44" customFormat="false" ht="12.75" hidden="false" customHeight="false" outlineLevel="0" collapsed="false">
      <c r="B44" s="10"/>
      <c r="C44" s="10" t="n">
        <v>12</v>
      </c>
      <c r="D44" s="10" t="n">
        <v>22102</v>
      </c>
      <c r="E44" s="4" t="n">
        <f aca="false">D44*C44</f>
        <v>265224</v>
      </c>
    </row>
    <row r="45" customFormat="false" ht="12.75" hidden="false" customHeight="false" outlineLevel="0" collapsed="false">
      <c r="B45" s="10"/>
      <c r="C45" s="10"/>
      <c r="D45" s="10"/>
    </row>
    <row r="46" customFormat="false" ht="12.75" hidden="false" customHeight="false" outlineLevel="0" collapsed="false">
      <c r="B46" s="10"/>
      <c r="C46" s="10"/>
      <c r="D46" s="10"/>
    </row>
    <row r="47" customFormat="false" ht="12.75" hidden="false" customHeight="false" outlineLevel="0" collapsed="false">
      <c r="B47" s="10"/>
      <c r="C47" s="10"/>
      <c r="D47" s="10"/>
    </row>
    <row r="48" customFormat="false" ht="12.75" hidden="false" customHeight="false" outlineLevel="0" collapsed="false">
      <c r="B48" s="10"/>
      <c r="C48" s="10"/>
      <c r="D48" s="10"/>
    </row>
    <row r="49" customFormat="false" ht="12.75" hidden="false" customHeight="false" outlineLevel="0" collapsed="false">
      <c r="B49" s="10"/>
      <c r="C49" s="10"/>
      <c r="D49" s="10"/>
    </row>
    <row r="50" customFormat="false" ht="12.75" hidden="false" customHeight="false" outlineLevel="0" collapsed="false">
      <c r="B50" s="10"/>
      <c r="C50" s="10"/>
      <c r="D50" s="10"/>
    </row>
    <row r="51" customFormat="false" ht="12.75" hidden="false" customHeight="false" outlineLevel="0" collapsed="false">
      <c r="B51" s="10"/>
      <c r="C51" s="10"/>
      <c r="D51" s="10"/>
    </row>
    <row r="52" customFormat="false" ht="12.75" hidden="false" customHeight="false" outlineLevel="0" collapsed="false">
      <c r="B52" s="10"/>
      <c r="C52" s="10"/>
      <c r="D52" s="10"/>
    </row>
    <row r="53" customFormat="false" ht="12.75" hidden="false" customHeight="false" outlineLevel="0" collapsed="false">
      <c r="B53" s="10"/>
      <c r="C53" s="10"/>
      <c r="D53" s="10"/>
    </row>
    <row r="54" customFormat="false" ht="12.75" hidden="false" customHeight="false" outlineLevel="0" collapsed="false">
      <c r="B54" s="10"/>
      <c r="C54" s="10"/>
      <c r="D54" s="10"/>
    </row>
    <row r="55" customFormat="false" ht="12.75" hidden="false" customHeight="false" outlineLevel="0" collapsed="false">
      <c r="A55" s="69"/>
      <c r="B55" s="71" t="s">
        <v>260</v>
      </c>
      <c r="C55" s="71"/>
      <c r="D55" s="71"/>
      <c r="E55" s="67"/>
      <c r="F55" s="67"/>
      <c r="G55" s="67"/>
    </row>
    <row r="56" customFormat="false" ht="12.75" hidden="false" customHeight="false" outlineLevel="0" collapsed="false">
      <c r="B56" s="2" t="s">
        <v>261</v>
      </c>
      <c r="C56" s="2"/>
      <c r="D56" s="2"/>
    </row>
    <row r="57" customFormat="false" ht="12.75" hidden="false" customHeight="false" outlineLevel="0" collapsed="false">
      <c r="A57" s="9" t="n">
        <v>45402</v>
      </c>
      <c r="B57" s="4" t="s">
        <v>262</v>
      </c>
    </row>
    <row r="58" customFormat="false" ht="12.75" hidden="false" customHeight="false" outlineLevel="0" collapsed="false">
      <c r="B58" s="4" t="s">
        <v>263</v>
      </c>
      <c r="E58" s="4" t="n">
        <v>204024</v>
      </c>
    </row>
    <row r="59" customFormat="false" ht="12.75" hidden="false" customHeight="false" outlineLevel="0" collapsed="false">
      <c r="A59" s="9" t="n">
        <v>45402</v>
      </c>
      <c r="B59" s="4" t="s">
        <v>264</v>
      </c>
    </row>
    <row r="61" customFormat="false" ht="12.75" hidden="false" customHeight="false" outlineLevel="0" collapsed="false">
      <c r="A61" s="9" t="n">
        <v>45449</v>
      </c>
      <c r="B61" s="4" t="s">
        <v>265</v>
      </c>
    </row>
    <row r="62" customFormat="false" ht="12.75" hidden="false" customHeight="false" outlineLevel="0" collapsed="false">
      <c r="A62" s="9" t="n">
        <v>45813</v>
      </c>
      <c r="B62" s="4" t="s">
        <v>266</v>
      </c>
    </row>
    <row r="63" customFormat="false" ht="12.75" hidden="false" customHeight="false" outlineLevel="0" collapsed="false">
      <c r="B63" s="4" t="s">
        <v>267</v>
      </c>
      <c r="C63" s="4" t="n">
        <f aca="false">A62-A59</f>
        <v>411</v>
      </c>
    </row>
    <row r="65" customFormat="false" ht="12.75" hidden="false" customHeight="false" outlineLevel="0" collapsed="false">
      <c r="F65" s="126"/>
    </row>
    <row r="66" customFormat="false" ht="12.75" hidden="false" customHeight="false" outlineLevel="0" collapsed="false">
      <c r="A66" s="127" t="n">
        <v>45402</v>
      </c>
      <c r="B66" s="4" t="s">
        <v>262</v>
      </c>
      <c r="C66" s="128"/>
      <c r="D66" s="128"/>
      <c r="E66" s="129"/>
      <c r="F66" s="129"/>
      <c r="G66" s="129"/>
    </row>
    <row r="67" customFormat="false" ht="12.75" hidden="false" customHeight="false" outlineLevel="0" collapsed="false">
      <c r="A67" s="128"/>
      <c r="B67" s="130" t="s">
        <v>268</v>
      </c>
      <c r="C67" s="128"/>
      <c r="D67" s="128"/>
      <c r="E67" s="129"/>
      <c r="F67" s="129"/>
      <c r="G67" s="129"/>
    </row>
    <row r="68" customFormat="false" ht="12.75" hidden="false" customHeight="false" outlineLevel="0" collapsed="false">
      <c r="A68" s="128"/>
      <c r="B68" s="128"/>
      <c r="C68" s="128"/>
      <c r="D68" s="128"/>
      <c r="E68" s="129" t="s">
        <v>2</v>
      </c>
      <c r="F68" s="129" t="s">
        <v>3</v>
      </c>
      <c r="G68" s="129" t="s">
        <v>269</v>
      </c>
    </row>
    <row r="69" customFormat="false" ht="12.75" hidden="false" customHeight="false" outlineLevel="0" collapsed="false">
      <c r="A69" s="127"/>
      <c r="B69" s="128" t="s">
        <v>270</v>
      </c>
      <c r="C69" s="128"/>
      <c r="D69" s="128"/>
      <c r="E69" s="129" t="n">
        <v>204024</v>
      </c>
      <c r="F69" s="129"/>
      <c r="G69" s="129" t="n">
        <f aca="false">E69-F69</f>
        <v>204024</v>
      </c>
    </row>
    <row r="70" customFormat="false" ht="12.75" hidden="false" customHeight="false" outlineLevel="0" collapsed="false">
      <c r="A70" s="127"/>
      <c r="B70" s="128"/>
      <c r="C70" s="128"/>
      <c r="D70" s="128"/>
      <c r="E70" s="129"/>
      <c r="F70" s="129"/>
      <c r="G70" s="129" t="n">
        <f aca="false">G69+E70-F70</f>
        <v>204024</v>
      </c>
    </row>
    <row r="71" customFormat="false" ht="12.75" hidden="false" customHeight="false" outlineLevel="0" collapsed="false">
      <c r="A71" s="127" t="n">
        <v>45402</v>
      </c>
      <c r="B71" s="128" t="s">
        <v>271</v>
      </c>
      <c r="C71" s="128"/>
      <c r="D71" s="128"/>
      <c r="E71" s="129"/>
      <c r="F71" s="129"/>
      <c r="G71" s="129" t="n">
        <f aca="false">G70+E71-F71</f>
        <v>204024</v>
      </c>
    </row>
    <row r="72" customFormat="false" ht="12.75" hidden="false" customHeight="false" outlineLevel="0" collapsed="false">
      <c r="A72" s="127" t="n">
        <v>45813</v>
      </c>
      <c r="B72" s="128" t="s">
        <v>272</v>
      </c>
      <c r="C72" s="128"/>
      <c r="D72" s="128"/>
      <c r="G72" s="129" t="n">
        <f aca="false">G71+E72-F72</f>
        <v>204024</v>
      </c>
    </row>
    <row r="73" customFormat="false" ht="12.75" hidden="false" customHeight="false" outlineLevel="0" collapsed="false">
      <c r="A73" s="127" t="n">
        <v>45170</v>
      </c>
      <c r="B73" s="128" t="s">
        <v>273</v>
      </c>
      <c r="C73" s="128"/>
      <c r="D73" s="128"/>
      <c r="F73" s="4" t="n">
        <v>1000</v>
      </c>
      <c r="G73" s="129" t="n">
        <f aca="false">G72+E73-F73</f>
        <v>203024</v>
      </c>
    </row>
    <row r="74" customFormat="false" ht="12.75" hidden="false" customHeight="false" outlineLevel="0" collapsed="false">
      <c r="A74" s="127" t="n">
        <v>45199</v>
      </c>
      <c r="B74" s="128" t="s">
        <v>273</v>
      </c>
      <c r="C74" s="128"/>
      <c r="D74" s="128"/>
      <c r="F74" s="4" t="n">
        <v>50000</v>
      </c>
      <c r="G74" s="129" t="n">
        <f aca="false">G73+E74-F74</f>
        <v>153024</v>
      </c>
      <c r="H74" s="54"/>
      <c r="I74" s="72"/>
    </row>
    <row r="75" customFormat="false" ht="12.75" hidden="false" customHeight="false" outlineLevel="0" collapsed="false">
      <c r="A75" s="127" t="n">
        <v>45229</v>
      </c>
      <c r="B75" s="128" t="s">
        <v>274</v>
      </c>
      <c r="C75" s="128"/>
      <c r="D75" s="128"/>
      <c r="F75" s="4" t="n">
        <v>33000</v>
      </c>
      <c r="G75" s="129" t="n">
        <f aca="false">G74+E75-F75</f>
        <v>120024</v>
      </c>
      <c r="H75" s="54"/>
      <c r="I75" s="72"/>
    </row>
    <row r="76" customFormat="false" ht="12.75" hidden="false" customHeight="false" outlineLevel="0" collapsed="false">
      <c r="A76" s="127" t="n">
        <v>45260</v>
      </c>
      <c r="B76" s="128" t="s">
        <v>273</v>
      </c>
      <c r="C76" s="128"/>
      <c r="D76" s="128"/>
      <c r="F76" s="4" t="n">
        <v>120000</v>
      </c>
      <c r="G76" s="129" t="n">
        <f aca="false">G75+E76-F76</f>
        <v>24</v>
      </c>
      <c r="H76" s="54"/>
      <c r="I76" s="72"/>
    </row>
    <row r="77" customFormat="false" ht="12.75" hidden="false" customHeight="false" outlineLevel="0" collapsed="false">
      <c r="A77" s="127"/>
      <c r="B77" s="128" t="s">
        <v>275</v>
      </c>
      <c r="C77" s="128"/>
      <c r="D77" s="128"/>
      <c r="F77" s="4" t="n">
        <v>24</v>
      </c>
      <c r="G77" s="129" t="n">
        <f aca="false">G76+E77-F77</f>
        <v>0</v>
      </c>
      <c r="H77" s="54"/>
      <c r="I77" s="72"/>
    </row>
    <row r="78" customFormat="false" ht="12.75" hidden="false" customHeight="false" outlineLevel="0" collapsed="false">
      <c r="A78" s="127"/>
      <c r="B78" s="128"/>
      <c r="C78" s="128"/>
      <c r="D78" s="128"/>
      <c r="G78" s="129"/>
    </row>
    <row r="79" s="4" customFormat="true" ht="13.8" hidden="false" customHeight="false" outlineLevel="0" collapsed="false">
      <c r="A79" s="127"/>
      <c r="B79" s="128" t="s">
        <v>276</v>
      </c>
      <c r="C79" s="131" t="n">
        <f aca="false">A72-A71</f>
        <v>411</v>
      </c>
      <c r="D79" s="131"/>
      <c r="G79" s="129"/>
    </row>
    <row r="80" s="4" customFormat="true" ht="12.75" hidden="false" customHeight="false" outlineLevel="0" collapsed="false">
      <c r="A80" s="127"/>
      <c r="B80" s="128" t="s">
        <v>277</v>
      </c>
      <c r="C80" s="130" t="n">
        <f aca="false">(E69-24)/C79</f>
        <v>496.350364963504</v>
      </c>
      <c r="D80" s="130"/>
      <c r="G80" s="129"/>
    </row>
    <row r="81" customFormat="false" ht="13.8" hidden="false" customHeight="false" outlineLevel="0" collapsed="false">
      <c r="A81" s="132" t="n">
        <v>45813</v>
      </c>
      <c r="B81" s="133" t="s">
        <v>278</v>
      </c>
      <c r="C81" s="134"/>
      <c r="D81" s="134"/>
      <c r="E81" s="135"/>
      <c r="G81" s="129"/>
    </row>
    <row r="82" customFormat="false" ht="12.75" hidden="false" customHeight="false" outlineLevel="0" collapsed="false">
      <c r="B82" s="128" t="s">
        <v>279</v>
      </c>
      <c r="C82" s="130" t="n">
        <f aca="false">A81-A71</f>
        <v>411</v>
      </c>
      <c r="D82" s="130"/>
      <c r="G82" s="129"/>
    </row>
    <row r="83" customFormat="false" ht="12.75" hidden="false" customHeight="false" outlineLevel="0" collapsed="false">
      <c r="A83" s="127"/>
      <c r="B83" s="128" t="s">
        <v>280</v>
      </c>
      <c r="C83" s="128"/>
      <c r="D83" s="128"/>
      <c r="E83" s="4" t="n">
        <f aca="false">C82*C80</f>
        <v>204000</v>
      </c>
      <c r="G83" s="129"/>
    </row>
    <row r="84" customFormat="false" ht="12.75" hidden="false" customHeight="false" outlineLevel="0" collapsed="false">
      <c r="A84" s="127"/>
      <c r="B84" s="128" t="s">
        <v>281</v>
      </c>
      <c r="C84" s="128"/>
      <c r="D84" s="128"/>
      <c r="E84" s="4" t="n">
        <f aca="false">E69-24-E83</f>
        <v>0</v>
      </c>
      <c r="G84" s="129"/>
    </row>
    <row r="85" customFormat="false" ht="13.8" hidden="false" customHeight="false" outlineLevel="0" collapsed="false">
      <c r="A85" s="127"/>
      <c r="B85" s="136" t="s">
        <v>282</v>
      </c>
      <c r="C85" s="136" t="s">
        <v>283</v>
      </c>
      <c r="D85" s="136"/>
      <c r="E85" s="137" t="n">
        <f aca="false">SUM(E84)</f>
        <v>0</v>
      </c>
      <c r="G85" s="129"/>
    </row>
    <row r="86" customFormat="false" ht="12.75" hidden="false" customHeight="false" outlineLevel="0" collapsed="false">
      <c r="A86" s="127"/>
      <c r="B86" s="128" t="s">
        <v>284</v>
      </c>
      <c r="C86" s="128" t="s">
        <v>283</v>
      </c>
      <c r="D86" s="128"/>
      <c r="G86" s="129"/>
    </row>
    <row r="87" customFormat="false" ht="12.75" hidden="false" customHeight="false" outlineLevel="0" collapsed="false">
      <c r="A87" s="127"/>
      <c r="B87" s="128" t="s">
        <v>285</v>
      </c>
      <c r="C87" s="128" t="s">
        <v>286</v>
      </c>
      <c r="D87" s="128"/>
      <c r="G87" s="129"/>
    </row>
    <row r="88" customFormat="false" ht="12.75" hidden="false" customHeight="false" outlineLevel="0" collapsed="false">
      <c r="A88" s="127"/>
      <c r="B88" s="128" t="s">
        <v>287</v>
      </c>
      <c r="C88" s="128" t="s">
        <v>286</v>
      </c>
      <c r="D88" s="128"/>
      <c r="G88" s="129"/>
    </row>
    <row r="89" customFormat="false" ht="12.75" hidden="false" customHeight="false" outlineLevel="0" collapsed="false">
      <c r="A89" s="127"/>
      <c r="B89" s="138"/>
      <c r="C89" s="128"/>
      <c r="D89" s="128"/>
      <c r="G89" s="129"/>
    </row>
    <row r="90" customFormat="false" ht="13.8" hidden="false" customHeight="false" outlineLevel="0" collapsed="false">
      <c r="A90" s="128"/>
      <c r="B90" s="139" t="s">
        <v>288</v>
      </c>
      <c r="C90" s="140" t="s">
        <v>283</v>
      </c>
      <c r="D90" s="140"/>
      <c r="E90" s="137" t="n">
        <f aca="false">SUM(E85:E89)</f>
        <v>0</v>
      </c>
      <c r="F90" s="129"/>
      <c r="G90" s="129"/>
    </row>
    <row r="91" customFormat="false" ht="13.5" hidden="false" customHeight="false" outlineLevel="0" collapsed="false"/>
  </sheetData>
  <printOptions headings="false" gridLines="false" gridLinesSet="true" horizontalCentered="false" verticalCentered="false"/>
  <pageMargins left="0.39375" right="0.236111111111111" top="0.709027777777778" bottom="0.70625" header="0.511811023622047" footer="0.511811023622047"/>
  <pageSetup paperSize="77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106" activeCellId="1" sqref="F84:F86 B106"/>
    </sheetView>
  </sheetViews>
  <sheetFormatPr defaultColWidth="8.66015625" defaultRowHeight="12.75" customHeight="false" zeroHeight="false" outlineLevelRow="0" outlineLevelCol="0"/>
  <cols>
    <col collapsed="false" customWidth="true" hidden="false" outlineLevel="0" max="1" min="1" style="9" width="13"/>
    <col collapsed="false" customWidth="true" hidden="false" outlineLevel="0" max="2" min="2" style="4" width="32"/>
    <col collapsed="false" customWidth="true" hidden="false" outlineLevel="0" max="3" min="3" style="4" width="7.29"/>
    <col collapsed="false" customWidth="true" hidden="false" outlineLevel="0" max="4" min="4" style="4" width="12.57"/>
    <col collapsed="false" customWidth="true" hidden="false" outlineLevel="0" max="5" min="5" style="4" width="12.14"/>
    <col collapsed="false" customWidth="true" hidden="false" outlineLevel="0" max="6" min="6" style="4" width="13"/>
    <col collapsed="false" customWidth="true" hidden="false" outlineLevel="0" max="7" min="7" style="4" width="10.57"/>
    <col collapsed="false" customWidth="true" hidden="false" outlineLevel="0" max="8" min="8" style="4" width="11.29"/>
    <col collapsed="false" customWidth="true" hidden="false" outlineLevel="0" max="60" min="9" style="0" width="12.14"/>
    <col collapsed="false" customWidth="true" hidden="false" outlineLevel="0" max="61" min="61" style="0" width="9.14"/>
  </cols>
  <sheetData>
    <row r="1" customFormat="false" ht="12.75" hidden="false" customHeight="false" outlineLevel="0" collapsed="false">
      <c r="B1" s="10" t="s">
        <v>289</v>
      </c>
      <c r="C1" s="10"/>
      <c r="F1" s="12" t="s">
        <v>255</v>
      </c>
    </row>
    <row r="2" customFormat="false" ht="12.75" hidden="false" customHeight="false" outlineLevel="0" collapsed="false">
      <c r="B2" s="10"/>
      <c r="C2" s="10"/>
    </row>
    <row r="3" customFormat="false" ht="12.75" hidden="false" customHeight="false" outlineLevel="0" collapsed="false">
      <c r="A3" s="13" t="s">
        <v>25</v>
      </c>
      <c r="B3" s="14" t="s">
        <v>26</v>
      </c>
      <c r="C3" s="14"/>
      <c r="D3" s="16" t="s">
        <v>27</v>
      </c>
      <c r="E3" s="16" t="s">
        <v>3</v>
      </c>
      <c r="F3" s="16" t="s">
        <v>28</v>
      </c>
    </row>
    <row r="4" customFormat="false" ht="12.75" hidden="false" customHeight="false" outlineLevel="0" collapsed="false">
      <c r="B4" s="17" t="s">
        <v>20</v>
      </c>
      <c r="C4" s="23"/>
      <c r="D4" s="20" t="n">
        <f aca="false">SUM(D9:D20)</f>
        <v>7000</v>
      </c>
      <c r="E4" s="21" t="n">
        <f aca="false">SUM(E9:E20)</f>
        <v>0</v>
      </c>
      <c r="F4" s="22" t="n">
        <f aca="false">F20</f>
        <v>7000</v>
      </c>
    </row>
    <row r="5" customFormat="false" ht="12.75" hidden="false" customHeight="false" outlineLevel="0" collapsed="false">
      <c r="B5" s="23" t="s">
        <v>29</v>
      </c>
      <c r="C5" s="23"/>
      <c r="D5" s="24" t="n">
        <f aca="false">F40</f>
        <v>0</v>
      </c>
    </row>
    <row r="6" customFormat="false" ht="12.75" hidden="false" customHeight="false" outlineLevel="0" collapsed="false">
      <c r="B6" s="23" t="s">
        <v>5</v>
      </c>
      <c r="D6" s="25" t="n">
        <f aca="false">F37</f>
        <v>-794.6</v>
      </c>
      <c r="E6" s="23"/>
      <c r="F6" s="12"/>
    </row>
    <row r="7" customFormat="false" ht="12.75" hidden="false" customHeight="false" outlineLevel="0" collapsed="false">
      <c r="A7" s="26"/>
      <c r="B7" s="27"/>
      <c r="C7" s="30"/>
      <c r="D7" s="27"/>
      <c r="E7" s="124" t="s">
        <v>30</v>
      </c>
      <c r="F7" s="31" t="n">
        <f aca="false">E4-D5</f>
        <v>0</v>
      </c>
    </row>
    <row r="8" customFormat="false" ht="12.75" hidden="false" customHeight="false" outlineLevel="0" collapsed="false">
      <c r="B8" s="23" t="s">
        <v>31</v>
      </c>
    </row>
    <row r="9" customFormat="false" ht="12.75" hidden="false" customHeight="false" outlineLevel="0" collapsed="false">
      <c r="A9" s="9" t="n">
        <v>45167</v>
      </c>
      <c r="D9" s="59"/>
      <c r="E9" s="33"/>
      <c r="F9" s="4" t="n">
        <f aca="false">D9-E9</f>
        <v>0</v>
      </c>
    </row>
    <row r="10" customFormat="false" ht="12.75" hidden="false" customHeight="false" outlineLevel="0" collapsed="false">
      <c r="B10" s="23"/>
      <c r="D10" s="59"/>
      <c r="E10" s="33"/>
      <c r="F10" s="4" t="n">
        <f aca="false">D10-E10+F9</f>
        <v>0</v>
      </c>
    </row>
    <row r="11" customFormat="false" ht="12.75" hidden="false" customHeight="false" outlineLevel="0" collapsed="false">
      <c r="D11" s="59"/>
      <c r="E11" s="33"/>
      <c r="F11" s="4" t="n">
        <f aca="false">D11-E11+F10</f>
        <v>0</v>
      </c>
    </row>
    <row r="12" customFormat="false" ht="12.75" hidden="false" customHeight="false" outlineLevel="0" collapsed="false">
      <c r="C12" s="125"/>
      <c r="D12" s="59"/>
      <c r="E12" s="33"/>
      <c r="F12" s="4" t="n">
        <f aca="false">D12-E12+F11</f>
        <v>0</v>
      </c>
    </row>
    <row r="13" customFormat="false" ht="12.75" hidden="false" customHeight="false" outlineLevel="0" collapsed="false">
      <c r="C13" s="125"/>
      <c r="D13" s="59"/>
      <c r="E13" s="33"/>
      <c r="F13" s="4" t="n">
        <f aca="false">D13-E13+F12</f>
        <v>0</v>
      </c>
    </row>
    <row r="14" customFormat="false" ht="12.75" hidden="false" customHeight="false" outlineLevel="0" collapsed="false">
      <c r="C14" s="125"/>
      <c r="D14" s="36"/>
      <c r="E14" s="37"/>
      <c r="F14" s="4" t="n">
        <f aca="false">D14-E14+F13</f>
        <v>0</v>
      </c>
    </row>
    <row r="15" customFormat="false" ht="12.75" hidden="false" customHeight="false" outlineLevel="0" collapsed="false">
      <c r="A15" s="9" t="n">
        <v>44956</v>
      </c>
      <c r="B15" s="4" t="s">
        <v>290</v>
      </c>
      <c r="C15" s="125" t="n">
        <v>45322</v>
      </c>
      <c r="D15" s="36" t="n">
        <v>7000</v>
      </c>
      <c r="E15" s="37"/>
      <c r="F15" s="4" t="n">
        <f aca="false">D15-E15+F14</f>
        <v>7000</v>
      </c>
    </row>
    <row r="16" customFormat="false" ht="12.75" hidden="false" customHeight="false" outlineLevel="0" collapsed="false">
      <c r="A16" s="35"/>
      <c r="D16" s="36"/>
      <c r="E16" s="37"/>
      <c r="F16" s="4" t="n">
        <f aca="false">D16-E16+F15</f>
        <v>7000</v>
      </c>
    </row>
    <row r="17" customFormat="false" ht="12.75" hidden="false" customHeight="false" outlineLevel="0" collapsed="false">
      <c r="A17" s="35"/>
      <c r="D17" s="36"/>
      <c r="E17" s="37"/>
      <c r="F17" s="4" t="n">
        <f aca="false">D17-E17+F16</f>
        <v>7000</v>
      </c>
    </row>
    <row r="18" customFormat="false" ht="12.75" hidden="false" customHeight="false" outlineLevel="0" collapsed="false">
      <c r="A18" s="35"/>
      <c r="D18" s="36"/>
      <c r="E18" s="37"/>
      <c r="F18" s="4" t="n">
        <f aca="false">D18-E18+F17</f>
        <v>7000</v>
      </c>
    </row>
    <row r="19" customFormat="false" ht="12.75" hidden="false" customHeight="false" outlineLevel="0" collapsed="false">
      <c r="A19" s="35"/>
      <c r="D19" s="36"/>
      <c r="E19" s="37"/>
      <c r="F19" s="4" t="n">
        <f aca="false">D19-E19+F18</f>
        <v>7000</v>
      </c>
    </row>
    <row r="20" customFormat="false" ht="12.75" hidden="false" customHeight="false" outlineLevel="0" collapsed="false">
      <c r="A20" s="35"/>
      <c r="D20" s="36"/>
      <c r="E20" s="37"/>
      <c r="F20" s="38" t="n">
        <f aca="false">D20-E20+F19</f>
        <v>7000</v>
      </c>
    </row>
    <row r="21" customFormat="false" ht="12.75" hidden="false" customHeight="false" outlineLevel="0" collapsed="false">
      <c r="A21" s="35"/>
      <c r="D21" s="39"/>
      <c r="E21" s="19"/>
      <c r="F21" s="19"/>
    </row>
    <row r="22" customFormat="false" ht="12.75" hidden="false" customHeight="false" outlineLevel="0" collapsed="false">
      <c r="A22" s="35"/>
      <c r="D22" s="39"/>
      <c r="E22" s="19"/>
      <c r="F22" s="19"/>
    </row>
    <row r="23" customFormat="false" ht="12.75" hidden="false" customHeight="false" outlineLevel="0" collapsed="false">
      <c r="A23" s="40" t="s">
        <v>36</v>
      </c>
      <c r="B23" s="27" t="s">
        <v>117</v>
      </c>
      <c r="C23" s="27" t="s">
        <v>118</v>
      </c>
      <c r="D23" s="41" t="s">
        <v>39</v>
      </c>
      <c r="E23" s="28"/>
      <c r="F23" s="28" t="s">
        <v>257</v>
      </c>
    </row>
    <row r="24" customFormat="false" ht="12.75" hidden="false" customHeight="false" outlineLevel="0" collapsed="false">
      <c r="A24" s="35"/>
      <c r="B24" s="4" t="s">
        <v>41</v>
      </c>
      <c r="D24" s="39"/>
      <c r="E24" s="19"/>
      <c r="F24" s="19" t="n">
        <v>-800</v>
      </c>
    </row>
    <row r="25" customFormat="false" ht="12.75" hidden="false" customHeight="false" outlineLevel="0" collapsed="false">
      <c r="A25" s="35"/>
      <c r="B25" s="4" t="s">
        <v>119</v>
      </c>
      <c r="C25" s="4" t="n">
        <v>0</v>
      </c>
      <c r="D25" s="19" t="n">
        <v>381.33</v>
      </c>
      <c r="E25" s="19" t="n">
        <v>431.36</v>
      </c>
      <c r="F25" s="19" t="n">
        <f aca="false">D25-E25+F24</f>
        <v>-850.03</v>
      </c>
    </row>
    <row r="26" customFormat="false" ht="12.75" hidden="false" customHeight="false" outlineLevel="0" collapsed="false">
      <c r="A26" s="35"/>
      <c r="B26" s="4" t="s">
        <v>120</v>
      </c>
      <c r="C26" s="4" t="n">
        <v>0</v>
      </c>
      <c r="D26" s="19" t="n">
        <v>237.14</v>
      </c>
      <c r="E26" s="19" t="n">
        <v>237.11</v>
      </c>
      <c r="F26" s="19" t="n">
        <f aca="false">D26-E26+F25</f>
        <v>-850</v>
      </c>
    </row>
    <row r="27" customFormat="false" ht="12.75" hidden="false" customHeight="false" outlineLevel="0" collapsed="false">
      <c r="A27" s="35"/>
      <c r="B27" s="4" t="s">
        <v>121</v>
      </c>
      <c r="D27" s="19" t="n">
        <v>55.4</v>
      </c>
      <c r="E27" s="19"/>
      <c r="F27" s="19" t="n">
        <f aca="false">D27-E27+F26</f>
        <v>-794.6</v>
      </c>
    </row>
    <row r="28" customFormat="false" ht="12.75" hidden="false" customHeight="false" outlineLevel="0" collapsed="false">
      <c r="A28" s="35"/>
      <c r="B28" s="4" t="s">
        <v>122</v>
      </c>
      <c r="D28" s="19"/>
      <c r="E28" s="19"/>
      <c r="F28" s="19" t="n">
        <f aca="false">D28-E28+F27</f>
        <v>-794.6</v>
      </c>
    </row>
    <row r="29" customFormat="false" ht="12.75" hidden="false" customHeight="false" outlineLevel="0" collapsed="false">
      <c r="A29" s="35"/>
      <c r="B29" s="4" t="s">
        <v>123</v>
      </c>
      <c r="D29" s="19"/>
      <c r="E29" s="19"/>
      <c r="F29" s="19" t="n">
        <f aca="false">D29-E29+F28</f>
        <v>-794.6</v>
      </c>
    </row>
    <row r="30" customFormat="false" ht="12.75" hidden="false" customHeight="false" outlineLevel="0" collapsed="false">
      <c r="A30" s="35"/>
      <c r="B30" s="4" t="s">
        <v>124</v>
      </c>
      <c r="D30" s="19"/>
      <c r="E30" s="19"/>
      <c r="F30" s="19" t="n">
        <f aca="false">D30-E30+F29</f>
        <v>-794.6</v>
      </c>
    </row>
    <row r="31" customFormat="false" ht="12.75" hidden="false" customHeight="false" outlineLevel="0" collapsed="false">
      <c r="A31" s="35"/>
      <c r="B31" s="4" t="s">
        <v>125</v>
      </c>
      <c r="D31" s="19"/>
      <c r="E31" s="19"/>
      <c r="F31" s="19" t="n">
        <f aca="false">D31-E31+F30</f>
        <v>-794.6</v>
      </c>
    </row>
    <row r="32" customFormat="false" ht="12.75" hidden="false" customHeight="false" outlineLevel="0" collapsed="false">
      <c r="A32" s="35"/>
      <c r="B32" s="4" t="s">
        <v>126</v>
      </c>
      <c r="D32" s="19"/>
      <c r="E32" s="19"/>
      <c r="F32" s="19" t="n">
        <f aca="false">D32-E32+F31</f>
        <v>-794.6</v>
      </c>
    </row>
    <row r="33" customFormat="false" ht="12.75" hidden="false" customHeight="false" outlineLevel="0" collapsed="false">
      <c r="A33" s="35"/>
      <c r="B33" s="4" t="s">
        <v>127</v>
      </c>
      <c r="D33" s="39"/>
      <c r="E33" s="19"/>
      <c r="F33" s="19" t="n">
        <f aca="false">D33-E33+F32</f>
        <v>-794.6</v>
      </c>
    </row>
    <row r="34" customFormat="false" ht="12.75" hidden="false" customHeight="false" outlineLevel="0" collapsed="false">
      <c r="A34" s="35"/>
      <c r="B34" s="4" t="s">
        <v>128</v>
      </c>
      <c r="D34" s="39"/>
      <c r="E34" s="19"/>
      <c r="F34" s="19" t="n">
        <f aca="false">D34-E34+F33</f>
        <v>-794.6</v>
      </c>
    </row>
    <row r="35" customFormat="false" ht="12.75" hidden="false" customHeight="false" outlineLevel="0" collapsed="false">
      <c r="A35" s="35"/>
      <c r="B35" s="4" t="s">
        <v>129</v>
      </c>
      <c r="D35" s="39"/>
      <c r="E35" s="19"/>
      <c r="F35" s="19" t="n">
        <f aca="false">D35-E35+F34</f>
        <v>-794.6</v>
      </c>
    </row>
    <row r="36" customFormat="false" ht="12.75" hidden="false" customHeight="false" outlineLevel="0" collapsed="false">
      <c r="A36" s="40"/>
      <c r="B36" s="27" t="s">
        <v>130</v>
      </c>
      <c r="C36" s="27"/>
      <c r="D36" s="41"/>
      <c r="E36" s="28"/>
      <c r="F36" s="28" t="n">
        <f aca="false">D36-E36+F35</f>
        <v>-794.6</v>
      </c>
    </row>
    <row r="37" customFormat="false" ht="12.75" hidden="false" customHeight="false" outlineLevel="0" collapsed="false">
      <c r="A37" s="42" t="n">
        <v>45291</v>
      </c>
      <c r="B37" s="43" t="s">
        <v>41</v>
      </c>
      <c r="C37" s="43" t="n">
        <f aca="false">SUM(C25:C36)</f>
        <v>0</v>
      </c>
      <c r="D37" s="45"/>
      <c r="E37" s="46"/>
      <c r="F37" s="47" t="n">
        <f aca="false">D37-E37+F36</f>
        <v>-794.6</v>
      </c>
    </row>
    <row r="38" customFormat="false" ht="12.75" hidden="false" customHeight="false" outlineLevel="0" collapsed="false">
      <c r="A38" s="35"/>
      <c r="D38" s="39"/>
      <c r="E38" s="39"/>
      <c r="F38" s="39"/>
    </row>
    <row r="40" customFormat="false" ht="12.75" hidden="false" customHeight="false" outlineLevel="0" collapsed="false">
      <c r="A40" s="48" t="s">
        <v>258</v>
      </c>
      <c r="B40" s="49" t="s">
        <v>58</v>
      </c>
      <c r="C40" s="49"/>
      <c r="D40" s="68"/>
      <c r="E40" s="29"/>
      <c r="F40" s="52" t="n">
        <f aca="false">SUM(E41:E54)</f>
        <v>0</v>
      </c>
    </row>
    <row r="41" customFormat="false" ht="12.75" hidden="false" customHeight="false" outlineLevel="0" collapsed="false">
      <c r="B41" s="10"/>
      <c r="C41" s="10"/>
    </row>
    <row r="42" customFormat="false" ht="12.75" hidden="false" customHeight="false" outlineLevel="0" collapsed="false">
      <c r="B42" s="2" t="s">
        <v>261</v>
      </c>
      <c r="C42" s="2"/>
    </row>
    <row r="43" customFormat="false" ht="12.75" hidden="false" customHeight="false" outlineLevel="0" collapsed="false">
      <c r="A43" s="9" t="n">
        <v>44774</v>
      </c>
      <c r="B43" s="4" t="s">
        <v>291</v>
      </c>
    </row>
    <row r="44" customFormat="false" ht="12.75" hidden="false" customHeight="false" outlineLevel="0" collapsed="false">
      <c r="B44" s="4" t="s">
        <v>292</v>
      </c>
      <c r="D44" s="4" t="n">
        <v>45000</v>
      </c>
    </row>
    <row r="45" customFormat="false" ht="12.75" hidden="false" customHeight="false" outlineLevel="0" collapsed="false">
      <c r="A45" s="9" t="n">
        <v>44774</v>
      </c>
      <c r="B45" s="4" t="s">
        <v>264</v>
      </c>
    </row>
    <row r="47" customFormat="false" ht="12.75" hidden="false" customHeight="false" outlineLevel="0" collapsed="false">
      <c r="A47" s="9" t="n">
        <v>44803</v>
      </c>
      <c r="B47" s="4" t="s">
        <v>265</v>
      </c>
    </row>
    <row r="48" customFormat="false" ht="12.75" hidden="false" customHeight="false" outlineLevel="0" collapsed="false">
      <c r="A48" s="9" t="n">
        <v>45167</v>
      </c>
      <c r="B48" s="4" t="s">
        <v>266</v>
      </c>
    </row>
    <row r="49" customFormat="false" ht="12.75" hidden="false" customHeight="false" outlineLevel="0" collapsed="false">
      <c r="B49" s="4" t="s">
        <v>293</v>
      </c>
      <c r="C49" s="4" t="n">
        <f aca="false">A48-A45</f>
        <v>393</v>
      </c>
    </row>
    <row r="51" customFormat="false" ht="12.75" hidden="false" customHeight="false" outlineLevel="0" collapsed="false">
      <c r="A51" s="9" t="n">
        <v>45127</v>
      </c>
      <c r="B51" s="4" t="s">
        <v>294</v>
      </c>
    </row>
    <row r="52" customFormat="false" ht="12.75" hidden="false" customHeight="false" outlineLevel="0" collapsed="false">
      <c r="B52" s="4" t="s">
        <v>295</v>
      </c>
    </row>
    <row r="53" customFormat="false" ht="12.75" hidden="false" customHeight="false" outlineLevel="0" collapsed="false">
      <c r="B53" s="4" t="s">
        <v>296</v>
      </c>
    </row>
    <row r="54" customFormat="false" ht="12.75" hidden="false" customHeight="false" outlineLevel="0" collapsed="false">
      <c r="B54" s="4" t="s">
        <v>297</v>
      </c>
    </row>
    <row r="55" customFormat="false" ht="12.75" hidden="false" customHeight="false" outlineLevel="0" collapsed="false">
      <c r="B55" s="4" t="s">
        <v>298</v>
      </c>
      <c r="D55" s="4" t="n">
        <v>96000</v>
      </c>
    </row>
    <row r="57" customFormat="false" ht="12.75" hidden="false" customHeight="false" outlineLevel="0" collapsed="false">
      <c r="B57" s="3"/>
    </row>
    <row r="59" customFormat="false" ht="12.75" hidden="false" customHeight="false" outlineLevel="0" collapsed="false">
      <c r="B59" s="2"/>
      <c r="C59" s="2"/>
      <c r="F59" s="4" t="n">
        <f aca="false">F58+D59-E59</f>
        <v>0</v>
      </c>
    </row>
    <row r="60" customFormat="false" ht="12.75" hidden="false" customHeight="false" outlineLevel="0" collapsed="false">
      <c r="B60" s="2" t="s">
        <v>299</v>
      </c>
      <c r="C60" s="2"/>
      <c r="F60" s="4" t="n">
        <f aca="false">F59+D60-E60</f>
        <v>0</v>
      </c>
    </row>
    <row r="61" customFormat="false" ht="12.75" hidden="false" customHeight="false" outlineLevel="0" collapsed="false">
      <c r="B61" s="4" t="s">
        <v>300</v>
      </c>
      <c r="E61" s="4" t="n">
        <v>32.35</v>
      </c>
      <c r="F61" s="4" t="n">
        <f aca="false">F60+D61-E61</f>
        <v>-32.35</v>
      </c>
    </row>
    <row r="62" customFormat="false" ht="12.75" hidden="false" customHeight="false" outlineLevel="0" collapsed="false">
      <c r="B62" s="4" t="s">
        <v>301</v>
      </c>
      <c r="E62" s="4" t="n">
        <v>39.91</v>
      </c>
      <c r="F62" s="4" t="n">
        <f aca="false">F61+D62-E62</f>
        <v>-72.26</v>
      </c>
    </row>
    <row r="63" customFormat="false" ht="12.75" hidden="false" customHeight="false" outlineLevel="0" collapsed="false">
      <c r="B63" s="4" t="s">
        <v>302</v>
      </c>
      <c r="E63" s="4" t="n">
        <v>8.99</v>
      </c>
      <c r="F63" s="4" t="n">
        <f aca="false">F62+D63-E63</f>
        <v>-81.25</v>
      </c>
    </row>
    <row r="64" customFormat="false" ht="12.75" hidden="false" customHeight="false" outlineLevel="0" collapsed="false">
      <c r="B64" s="0" t="s">
        <v>303</v>
      </c>
      <c r="C64" s="0"/>
      <c r="E64" s="4" t="n">
        <v>60.27</v>
      </c>
      <c r="F64" s="4" t="n">
        <f aca="false">F63+D64-E64</f>
        <v>-141.52</v>
      </c>
      <c r="G64" s="0"/>
      <c r="H64" s="0"/>
    </row>
    <row r="65" customFormat="false" ht="12.75" hidden="false" customHeight="false" outlineLevel="0" collapsed="false">
      <c r="B65" s="4" t="s">
        <v>304</v>
      </c>
      <c r="E65" s="4" t="n">
        <v>500</v>
      </c>
      <c r="F65" s="4" t="n">
        <f aca="false">F64+D65-E65</f>
        <v>-641.52</v>
      </c>
    </row>
    <row r="66" customFormat="false" ht="12.75" hidden="false" customHeight="false" outlineLevel="0" collapsed="false">
      <c r="B66" s="4" t="s">
        <v>305</v>
      </c>
      <c r="E66" s="4" t="n">
        <v>58.48</v>
      </c>
      <c r="F66" s="4" t="n">
        <f aca="false">F65+D66-E66</f>
        <v>-700</v>
      </c>
    </row>
    <row r="67" customFormat="false" ht="12.75" hidden="false" customHeight="false" outlineLevel="0" collapsed="false">
      <c r="B67" s="4" t="s">
        <v>306</v>
      </c>
      <c r="D67" s="4" t="n">
        <v>245.53</v>
      </c>
      <c r="E67" s="4" t="n">
        <v>295.53</v>
      </c>
      <c r="F67" s="4" t="n">
        <f aca="false">F66+D67-E67</f>
        <v>-750</v>
      </c>
    </row>
    <row r="68" customFormat="false" ht="12.75" hidden="false" customHeight="false" outlineLevel="0" collapsed="false">
      <c r="B68" s="4" t="s">
        <v>307</v>
      </c>
      <c r="E68" s="4" t="n">
        <v>37.76</v>
      </c>
      <c r="F68" s="4" t="n">
        <f aca="false">F67+D68-E68</f>
        <v>-787.76</v>
      </c>
    </row>
    <row r="69" customFormat="false" ht="12.75" hidden="false" customHeight="false" outlineLevel="0" collapsed="false">
      <c r="B69" s="4" t="s">
        <v>308</v>
      </c>
      <c r="E69" s="4" t="n">
        <v>12.24</v>
      </c>
      <c r="F69" s="4" t="n">
        <f aca="false">F68+D69-E69</f>
        <v>-800</v>
      </c>
    </row>
    <row r="71" customFormat="false" ht="12.75" hidden="false" customHeight="false" outlineLevel="0" collapsed="false">
      <c r="E71" s="126"/>
    </row>
    <row r="72" customFormat="false" ht="12.75" hidden="false" customHeight="false" outlineLevel="0" collapsed="false">
      <c r="A72" s="127" t="n">
        <v>45139</v>
      </c>
      <c r="B72" s="130" t="s">
        <v>291</v>
      </c>
      <c r="C72" s="128"/>
      <c r="D72" s="129"/>
      <c r="E72" s="129"/>
      <c r="F72" s="129"/>
    </row>
    <row r="73" customFormat="false" ht="12.75" hidden="false" customHeight="false" outlineLevel="0" collapsed="false">
      <c r="A73" s="128"/>
      <c r="B73" s="130" t="s">
        <v>268</v>
      </c>
      <c r="C73" s="128"/>
      <c r="D73" s="129"/>
      <c r="E73" s="129"/>
      <c r="F73" s="129"/>
    </row>
    <row r="74" customFormat="false" ht="12.75" hidden="false" customHeight="false" outlineLevel="0" collapsed="false">
      <c r="A74" s="128"/>
      <c r="B74" s="128"/>
      <c r="C74" s="128"/>
      <c r="D74" s="129" t="s">
        <v>2</v>
      </c>
      <c r="E74" s="129" t="s">
        <v>3</v>
      </c>
      <c r="F74" s="129" t="s">
        <v>269</v>
      </c>
    </row>
    <row r="75" customFormat="false" ht="12.75" hidden="false" customHeight="false" outlineLevel="0" collapsed="false">
      <c r="A75" s="127"/>
      <c r="B75" s="128"/>
      <c r="C75" s="128"/>
      <c r="D75" s="129" t="n">
        <v>96000</v>
      </c>
      <c r="E75" s="129"/>
      <c r="F75" s="129" t="n">
        <f aca="false">D75-E75</f>
        <v>96000</v>
      </c>
    </row>
    <row r="76" customFormat="false" ht="12.75" hidden="false" customHeight="false" outlineLevel="0" collapsed="false">
      <c r="A76" s="127"/>
      <c r="B76" s="128"/>
      <c r="C76" s="128"/>
      <c r="D76" s="129"/>
      <c r="E76" s="129"/>
      <c r="F76" s="129" t="n">
        <f aca="false">F75+D76-E76</f>
        <v>96000</v>
      </c>
    </row>
    <row r="77" customFormat="false" ht="12.75" hidden="false" customHeight="false" outlineLevel="0" collapsed="false">
      <c r="A77" s="127" t="n">
        <v>45168</v>
      </c>
      <c r="B77" s="128" t="s">
        <v>271</v>
      </c>
      <c r="C77" s="128"/>
      <c r="D77" s="129"/>
      <c r="E77" s="129"/>
      <c r="F77" s="129" t="n">
        <f aca="false">F76+D77-E77</f>
        <v>96000</v>
      </c>
    </row>
    <row r="78" customFormat="false" ht="12.75" hidden="false" customHeight="false" outlineLevel="0" collapsed="false">
      <c r="A78" s="127" t="n">
        <v>45533</v>
      </c>
      <c r="B78" s="128" t="s">
        <v>272</v>
      </c>
      <c r="C78" s="128"/>
      <c r="F78" s="129" t="n">
        <f aca="false">F77+D78-E78</f>
        <v>96000</v>
      </c>
    </row>
    <row r="79" customFormat="false" ht="12.75" hidden="false" customHeight="false" outlineLevel="0" collapsed="false">
      <c r="A79" s="127" t="n">
        <v>45170</v>
      </c>
      <c r="B79" s="128" t="s">
        <v>309</v>
      </c>
      <c r="C79" s="128"/>
      <c r="E79" s="4" t="n">
        <v>65000</v>
      </c>
      <c r="F79" s="129" t="n">
        <f aca="false">F78+D79-E79</f>
        <v>31000</v>
      </c>
    </row>
    <row r="80" customFormat="false" ht="12.75" hidden="false" customHeight="false" outlineLevel="0" collapsed="false">
      <c r="A80" s="127" t="n">
        <v>45199</v>
      </c>
      <c r="B80" s="128" t="s">
        <v>310</v>
      </c>
      <c r="C80" s="128"/>
      <c r="E80" s="4" t="n">
        <v>6000</v>
      </c>
      <c r="F80" s="129" t="n">
        <f aca="false">F79+D80-E80</f>
        <v>25000</v>
      </c>
      <c r="G80" s="54"/>
      <c r="H80" s="72"/>
    </row>
    <row r="81" customFormat="false" ht="12.75" hidden="false" customHeight="false" outlineLevel="0" collapsed="false">
      <c r="A81" s="127" t="n">
        <v>45229</v>
      </c>
      <c r="B81" s="128" t="s">
        <v>311</v>
      </c>
      <c r="C81" s="128"/>
      <c r="E81" s="4" t="n">
        <v>6000</v>
      </c>
      <c r="F81" s="129" t="n">
        <f aca="false">F80+D81-E81</f>
        <v>19000</v>
      </c>
      <c r="G81" s="54"/>
      <c r="H81" s="72"/>
    </row>
    <row r="82" customFormat="false" ht="12.75" hidden="false" customHeight="false" outlineLevel="0" collapsed="false">
      <c r="A82" s="127" t="n">
        <v>45260</v>
      </c>
      <c r="B82" s="128" t="s">
        <v>312</v>
      </c>
      <c r="C82" s="128"/>
      <c r="E82" s="4" t="n">
        <v>6000</v>
      </c>
      <c r="F82" s="129" t="n">
        <f aca="false">F81+D82-E82</f>
        <v>13000</v>
      </c>
      <c r="G82" s="54"/>
      <c r="H82" s="72"/>
    </row>
    <row r="83" customFormat="false" ht="12.75" hidden="false" customHeight="false" outlineLevel="0" collapsed="false">
      <c r="A83" s="127" t="n">
        <v>45290</v>
      </c>
      <c r="B83" s="128" t="s">
        <v>313</v>
      </c>
      <c r="C83" s="128"/>
      <c r="E83" s="4" t="n">
        <v>6000</v>
      </c>
      <c r="F83" s="129" t="n">
        <f aca="false">F82+D83-E83</f>
        <v>7000</v>
      </c>
      <c r="G83" s="54"/>
      <c r="H83" s="72"/>
    </row>
    <row r="84" customFormat="false" ht="12.75" hidden="false" customHeight="false" outlineLevel="0" collapsed="false">
      <c r="A84" s="127" t="n">
        <v>45321</v>
      </c>
      <c r="B84" s="128" t="s">
        <v>314</v>
      </c>
      <c r="C84" s="141" t="s">
        <v>315</v>
      </c>
      <c r="F84" s="129" t="n">
        <f aca="false">F83+D84-E84</f>
        <v>7000</v>
      </c>
      <c r="G84" s="54"/>
      <c r="H84" s="72"/>
    </row>
    <row r="85" customFormat="false" ht="12.75" hidden="false" customHeight="false" outlineLevel="0" collapsed="false">
      <c r="A85" s="127"/>
      <c r="B85" s="128"/>
      <c r="C85" s="128"/>
      <c r="F85" s="129"/>
    </row>
    <row r="86" customFormat="false" ht="13.8" hidden="false" customHeight="false" outlineLevel="0" collapsed="false">
      <c r="A86" s="127"/>
      <c r="B86" s="128" t="s">
        <v>276</v>
      </c>
      <c r="C86" s="131" t="n">
        <f aca="false">A78-A77</f>
        <v>365</v>
      </c>
      <c r="F86" s="129"/>
    </row>
    <row r="87" customFormat="false" ht="12.75" hidden="false" customHeight="false" outlineLevel="0" collapsed="false">
      <c r="A87" s="127"/>
      <c r="B87" s="128" t="s">
        <v>277</v>
      </c>
      <c r="C87" s="130" t="n">
        <f aca="false">D75/C86</f>
        <v>263.013698630137</v>
      </c>
      <c r="F87" s="129"/>
    </row>
    <row r="88" customFormat="false" ht="13.8" hidden="false" customHeight="false" outlineLevel="0" collapsed="false">
      <c r="A88" s="132" t="n">
        <v>45413</v>
      </c>
      <c r="B88" s="133" t="s">
        <v>278</v>
      </c>
      <c r="C88" s="134"/>
      <c r="D88" s="135"/>
    </row>
    <row r="89" customFormat="false" ht="12.75" hidden="false" customHeight="false" outlineLevel="0" collapsed="false">
      <c r="B89" s="128" t="s">
        <v>279</v>
      </c>
      <c r="C89" s="130" t="n">
        <f aca="false">A88-A77</f>
        <v>245</v>
      </c>
    </row>
    <row r="90" customFormat="false" ht="12.75" hidden="false" customHeight="false" outlineLevel="0" collapsed="false">
      <c r="A90" s="127"/>
      <c r="B90" s="128" t="s">
        <v>280</v>
      </c>
      <c r="C90" s="128"/>
      <c r="D90" s="4" t="n">
        <f aca="false">C89*C87</f>
        <v>64438.3561643836</v>
      </c>
    </row>
    <row r="91" customFormat="false" ht="12.75" hidden="false" customHeight="false" outlineLevel="0" collapsed="false">
      <c r="A91" s="127"/>
      <c r="B91" s="128" t="s">
        <v>281</v>
      </c>
      <c r="C91" s="128"/>
      <c r="D91" s="4" t="n">
        <f aca="false">D75-D90</f>
        <v>31561.6438356164</v>
      </c>
      <c r="F91" s="129"/>
    </row>
    <row r="92" customFormat="false" ht="13.8" hidden="false" customHeight="false" outlineLevel="0" collapsed="false">
      <c r="A92" s="127"/>
      <c r="B92" s="136" t="s">
        <v>282</v>
      </c>
      <c r="C92" s="136" t="s">
        <v>283</v>
      </c>
      <c r="D92" s="137" t="n">
        <f aca="false">SUM(D91)</f>
        <v>31561.6438356164</v>
      </c>
      <c r="F92" s="129"/>
    </row>
    <row r="93" customFormat="false" ht="12.75" hidden="false" customHeight="false" outlineLevel="0" collapsed="false">
      <c r="A93" s="127"/>
      <c r="B93" s="128" t="s">
        <v>284</v>
      </c>
      <c r="C93" s="128" t="s">
        <v>283</v>
      </c>
      <c r="D93" s="4" t="n">
        <v>794.6</v>
      </c>
      <c r="F93" s="129"/>
    </row>
    <row r="94" customFormat="false" ht="12.75" hidden="false" customHeight="false" outlineLevel="0" collapsed="false">
      <c r="A94" s="127"/>
      <c r="B94" s="128" t="s">
        <v>287</v>
      </c>
      <c r="C94" s="128" t="s">
        <v>286</v>
      </c>
      <c r="D94" s="4" t="n">
        <v>-30</v>
      </c>
      <c r="F94" s="129"/>
    </row>
    <row r="95" customFormat="false" ht="12.75" hidden="false" customHeight="false" outlineLevel="0" collapsed="false">
      <c r="A95" s="127"/>
      <c r="B95" s="138" t="s">
        <v>316</v>
      </c>
      <c r="C95" s="128" t="s">
        <v>286</v>
      </c>
      <c r="D95" s="4" t="n">
        <f aca="false">F84*-1</f>
        <v>-7000</v>
      </c>
      <c r="F95" s="129"/>
    </row>
    <row r="96" customFormat="false" ht="13.8" hidden="false" customHeight="false" outlineLevel="0" collapsed="false">
      <c r="A96" s="128"/>
      <c r="B96" s="139" t="s">
        <v>288</v>
      </c>
      <c r="C96" s="140" t="s">
        <v>283</v>
      </c>
      <c r="D96" s="137" t="n">
        <f aca="false">SUM(D92:D95)</f>
        <v>25326.2438356164</v>
      </c>
      <c r="E96" s="129"/>
      <c r="F96" s="129"/>
    </row>
    <row r="97" customFormat="false" ht="12.75" hidden="false" customHeight="false" outlineLevel="0" collapsed="false">
      <c r="A97" s="9" t="n">
        <v>45412</v>
      </c>
      <c r="B97" s="4" t="s">
        <v>148</v>
      </c>
      <c r="D97" s="4" t="n">
        <v>24000</v>
      </c>
    </row>
    <row r="98" customFormat="false" ht="12.75" hidden="false" customHeight="false" outlineLevel="0" collapsed="false">
      <c r="B98" s="4" t="s">
        <v>317</v>
      </c>
      <c r="D98" s="4" t="n">
        <v>1000</v>
      </c>
    </row>
    <row r="99" customFormat="false" ht="12.75" hidden="false" customHeight="false" outlineLevel="0" collapsed="false">
      <c r="B99" s="142" t="s">
        <v>318</v>
      </c>
    </row>
    <row r="101" customFormat="false" ht="12.75" hidden="false" customHeight="false" outlineLevel="0" collapsed="false">
      <c r="D101" s="4" t="s">
        <v>319</v>
      </c>
    </row>
    <row r="102" customFormat="false" ht="12.75" hidden="false" customHeight="false" outlineLevel="0" collapsed="false">
      <c r="A102" s="9" t="s">
        <v>192</v>
      </c>
      <c r="D102" s="4" t="n">
        <v>2</v>
      </c>
    </row>
    <row r="103" customFormat="false" ht="12.75" hidden="false" customHeight="false" outlineLevel="0" collapsed="false">
      <c r="A103" s="9" t="n">
        <v>9</v>
      </c>
      <c r="D103" s="4" t="n">
        <v>30</v>
      </c>
    </row>
    <row r="104" customFormat="false" ht="12.75" hidden="false" customHeight="false" outlineLevel="0" collapsed="false">
      <c r="A104" s="9" t="n">
        <v>10</v>
      </c>
      <c r="D104" s="4" t="n">
        <v>31</v>
      </c>
    </row>
    <row r="105" customFormat="false" ht="12.75" hidden="false" customHeight="false" outlineLevel="0" collapsed="false">
      <c r="A105" s="9" t="n">
        <v>11</v>
      </c>
      <c r="D105" s="4" t="n">
        <v>30</v>
      </c>
    </row>
    <row r="106" customFormat="false" ht="12.75" hidden="false" customHeight="false" outlineLevel="0" collapsed="false">
      <c r="A106" s="9" t="n">
        <v>12</v>
      </c>
      <c r="D106" s="4" t="n">
        <v>31</v>
      </c>
    </row>
    <row r="107" customFormat="false" ht="12.75" hidden="false" customHeight="false" outlineLevel="0" collapsed="false">
      <c r="A107" s="9" t="n">
        <v>1</v>
      </c>
      <c r="D107" s="4" t="n">
        <v>31</v>
      </c>
    </row>
    <row r="108" customFormat="false" ht="12.75" hidden="false" customHeight="false" outlineLevel="0" collapsed="false">
      <c r="A108" s="9" t="n">
        <v>2</v>
      </c>
      <c r="D108" s="4" t="n">
        <v>29</v>
      </c>
    </row>
    <row r="109" customFormat="false" ht="12.75" hidden="false" customHeight="false" outlineLevel="0" collapsed="false">
      <c r="A109" s="9" t="n">
        <v>3</v>
      </c>
      <c r="D109" s="4" t="n">
        <v>31</v>
      </c>
    </row>
    <row r="110" customFormat="false" ht="12.75" hidden="false" customHeight="false" outlineLevel="0" collapsed="false">
      <c r="A110" s="9" t="n">
        <v>4</v>
      </c>
      <c r="D110" s="4" t="n">
        <v>30</v>
      </c>
    </row>
    <row r="111" customFormat="false" ht="12.75" hidden="false" customHeight="false" outlineLevel="0" collapsed="false">
      <c r="D111" s="4" t="n">
        <f aca="false">SUM(D102:D110)</f>
        <v>245</v>
      </c>
    </row>
    <row r="114" customFormat="false" ht="12.75" hidden="false" customHeight="false" outlineLevel="0" collapsed="false">
      <c r="A114" s="129"/>
      <c r="B114" s="4" t="s">
        <v>320</v>
      </c>
      <c r="D114" s="4" t="n">
        <v>7000</v>
      </c>
    </row>
    <row r="115" customFormat="false" ht="12.75" hidden="false" customHeight="false" outlineLevel="0" collapsed="false">
      <c r="A115" s="132" t="n">
        <v>45413</v>
      </c>
      <c r="B115" s="4" t="n">
        <v>1985</v>
      </c>
      <c r="D115" s="4" t="n">
        <f aca="false">D114/B115</f>
        <v>3.5264483627204</v>
      </c>
      <c r="E115" s="4" t="s">
        <v>321</v>
      </c>
    </row>
    <row r="116" customFormat="false" ht="12.75" hidden="false" customHeight="false" outlineLevel="0" collapsed="false">
      <c r="A116" s="132" t="n">
        <v>45412</v>
      </c>
      <c r="B116" s="4" t="n">
        <v>2410</v>
      </c>
      <c r="D116" s="4" t="n">
        <f aca="false">D115*B116</f>
        <v>8498.74055415617</v>
      </c>
    </row>
    <row r="117" customFormat="false" ht="12.75" hidden="false" customHeight="false" outlineLevel="0" collapsed="false">
      <c r="D117" s="4" t="n">
        <f aca="false">D114/B116</f>
        <v>2.9045643153527</v>
      </c>
      <c r="E117" s="4" t="s">
        <v>321</v>
      </c>
    </row>
  </sheetData>
  <printOptions headings="false" gridLines="false" gridLinesSet="true" horizontalCentered="false" verticalCentered="false"/>
  <pageMargins left="0.39375" right="0.236111111111111" top="0.709027777777778" bottom="0.70625" header="0.511811023622047" footer="0.511811023622047"/>
  <pageSetup paperSize="77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E23" activeCellId="1" sqref="F84:F86 E23"/>
    </sheetView>
  </sheetViews>
  <sheetFormatPr defaultColWidth="8.66015625" defaultRowHeight="12.75" customHeight="false" zeroHeight="false" outlineLevelRow="0" outlineLevelCol="0"/>
  <cols>
    <col collapsed="false" customWidth="true" hidden="false" outlineLevel="0" max="1" min="1" style="143" width="13.43"/>
    <col collapsed="false" customWidth="true" hidden="false" outlineLevel="0" max="2" min="2" style="4" width="29.14"/>
    <col collapsed="false" customWidth="true" hidden="false" outlineLevel="0" max="3" min="3" style="4" width="6.29"/>
    <col collapsed="false" customWidth="true" hidden="false" outlineLevel="0" max="4" min="4" style="4" width="6.71"/>
    <col collapsed="false" customWidth="true" hidden="false" outlineLevel="0" max="5" min="5" style="4" width="11.57"/>
    <col collapsed="false" customWidth="true" hidden="false" outlineLevel="0" max="6" min="6" style="4" width="11.43"/>
    <col collapsed="false" customWidth="true" hidden="false" outlineLevel="0" max="7" min="7" style="4" width="13.71"/>
    <col collapsed="false" customWidth="true" hidden="false" outlineLevel="0" max="8" min="8" style="4" width="1.57"/>
    <col collapsed="false" customWidth="true" hidden="false" outlineLevel="0" max="9" min="9" style="4" width="11.29"/>
    <col collapsed="false" customWidth="true" hidden="false" outlineLevel="0" max="11" min="10" style="0" width="12.14"/>
    <col collapsed="false" customWidth="true" hidden="false" outlineLevel="0" max="14" min="12" style="0" width="9.43"/>
    <col collapsed="false" customWidth="true" hidden="false" outlineLevel="0" max="61" min="15" style="0" width="12.14"/>
    <col collapsed="false" customWidth="true" hidden="false" outlineLevel="0" max="62" min="62" style="0" width="9.14"/>
  </cols>
  <sheetData>
    <row r="1" customFormat="false" ht="12.75" hidden="false" customHeight="false" outlineLevel="0" collapsed="false">
      <c r="A1" s="144"/>
      <c r="B1" s="10" t="s">
        <v>322</v>
      </c>
      <c r="C1" s="10"/>
      <c r="D1" s="10"/>
      <c r="G1" s="12" t="s">
        <v>255</v>
      </c>
    </row>
    <row r="2" customFormat="false" ht="12.75" hidden="false" customHeight="false" outlineLevel="0" collapsed="false">
      <c r="A2" s="144"/>
      <c r="B2" s="10"/>
      <c r="C2" s="10"/>
      <c r="D2" s="10"/>
    </row>
    <row r="3" customFormat="false" ht="12.75" hidden="false" customHeight="false" outlineLevel="0" collapsed="false">
      <c r="A3" s="145" t="s">
        <v>25</v>
      </c>
      <c r="B3" s="14" t="s">
        <v>26</v>
      </c>
      <c r="C3" s="14"/>
      <c r="D3" s="14" t="s">
        <v>323</v>
      </c>
      <c r="E3" s="16" t="s">
        <v>2</v>
      </c>
      <c r="F3" s="16" t="s">
        <v>3</v>
      </c>
      <c r="G3" s="16" t="s">
        <v>28</v>
      </c>
    </row>
    <row r="4" customFormat="false" ht="12.75" hidden="false" customHeight="false" outlineLevel="0" collapsed="false">
      <c r="A4" s="144"/>
      <c r="B4" s="17" t="s">
        <v>20</v>
      </c>
      <c r="C4" s="23"/>
      <c r="D4" s="23"/>
      <c r="E4" s="20" t="n">
        <f aca="false">SUM(E9:E39)</f>
        <v>447218.535788994</v>
      </c>
      <c r="F4" s="21" t="n">
        <f aca="false">SUM(F9:F39)</f>
        <v>184917.52</v>
      </c>
      <c r="G4" s="22" t="e">
        <f aca="false">#ref!</f>
        <v>#NAME?</v>
      </c>
    </row>
    <row r="5" customFormat="false" ht="12.75" hidden="false" customHeight="false" outlineLevel="0" collapsed="false">
      <c r="A5" s="144"/>
      <c r="B5" s="23" t="s">
        <v>29</v>
      </c>
      <c r="C5" s="23"/>
      <c r="D5" s="23"/>
      <c r="E5" s="24" t="n">
        <f aca="false">G59</f>
        <v>0</v>
      </c>
    </row>
    <row r="6" customFormat="false" ht="12.75" hidden="false" customHeight="false" outlineLevel="0" collapsed="false">
      <c r="A6" s="144"/>
      <c r="B6" s="23" t="s">
        <v>5</v>
      </c>
      <c r="E6" s="25" t="n">
        <f aca="false">G56</f>
        <v>-2824.53</v>
      </c>
      <c r="F6" s="23"/>
      <c r="G6" s="12"/>
    </row>
    <row r="7" customFormat="false" ht="12.75" hidden="false" customHeight="false" outlineLevel="0" collapsed="false">
      <c r="A7" s="146" t="s">
        <v>157</v>
      </c>
      <c r="B7" s="27"/>
      <c r="C7" s="30"/>
      <c r="D7" s="30"/>
      <c r="E7" s="27"/>
      <c r="F7" s="147" t="s">
        <v>30</v>
      </c>
      <c r="G7" s="148" t="n">
        <f aca="false">F4-E5</f>
        <v>184917.52</v>
      </c>
    </row>
    <row r="8" customFormat="false" ht="12.75" hidden="false" customHeight="false" outlineLevel="0" collapsed="false">
      <c r="A8" s="144"/>
      <c r="B8" s="23" t="s">
        <v>31</v>
      </c>
    </row>
    <row r="9" customFormat="false" ht="12.75" hidden="false" customHeight="false" outlineLevel="0" collapsed="false">
      <c r="A9" s="149" t="n">
        <v>44957</v>
      </c>
      <c r="B9" s="150" t="s">
        <v>42</v>
      </c>
      <c r="C9" s="4" t="n">
        <v>6.65</v>
      </c>
      <c r="E9" s="75" t="n">
        <v>6920</v>
      </c>
      <c r="F9" s="33" t="n">
        <v>6920</v>
      </c>
      <c r="G9" s="4" t="n">
        <f aca="false">E9-F9</f>
        <v>0</v>
      </c>
    </row>
    <row r="10" customFormat="false" ht="12.75" hidden="false" customHeight="false" outlineLevel="0" collapsed="false">
      <c r="A10" s="149"/>
      <c r="B10" s="150" t="s">
        <v>44</v>
      </c>
      <c r="C10" s="4" t="n">
        <v>3.15</v>
      </c>
      <c r="E10" s="75" t="n">
        <f aca="false">E9+(E9*C9/100)</f>
        <v>7380.18</v>
      </c>
      <c r="F10" s="33"/>
      <c r="G10" s="4" t="n">
        <f aca="false">E10-F10+G9</f>
        <v>7380.18</v>
      </c>
    </row>
    <row r="11" customFormat="false" ht="12.75" hidden="false" customHeight="false" outlineLevel="0" collapsed="false">
      <c r="A11" s="149"/>
      <c r="B11" s="150" t="s">
        <v>46</v>
      </c>
      <c r="C11" s="4" t="n">
        <v>2.29</v>
      </c>
      <c r="E11" s="75" t="n">
        <f aca="false">E10+(E10*C10/100)</f>
        <v>7612.65567</v>
      </c>
      <c r="F11" s="33"/>
      <c r="G11" s="4" t="n">
        <f aca="false">E11-F11+G10</f>
        <v>14992.83567</v>
      </c>
    </row>
    <row r="12" customFormat="false" ht="12.75" hidden="false" customHeight="false" outlineLevel="0" collapsed="false">
      <c r="A12" s="149"/>
      <c r="B12" s="150" t="s">
        <v>324</v>
      </c>
      <c r="C12" s="4" t="n">
        <v>2.39</v>
      </c>
      <c r="E12" s="75" t="n">
        <f aca="false">E11+(E11*C11/100)</f>
        <v>7786.985484843</v>
      </c>
      <c r="F12" s="33" t="n">
        <v>8425.46</v>
      </c>
      <c r="G12" s="4" t="n">
        <f aca="false">E12-F12+G11</f>
        <v>14354.361154843</v>
      </c>
    </row>
    <row r="13" customFormat="false" ht="12.75" hidden="false" customHeight="false" outlineLevel="0" collapsed="false">
      <c r="A13" s="149"/>
      <c r="B13" s="150" t="s">
        <v>325</v>
      </c>
      <c r="C13" s="4" t="n">
        <v>0.04</v>
      </c>
      <c r="E13" s="75" t="n">
        <f aca="false">E12+(E12*C12/100)</f>
        <v>7973.09443793075</v>
      </c>
      <c r="F13" s="33" t="n">
        <v>28080</v>
      </c>
      <c r="G13" s="4" t="n">
        <f aca="false">E13-F13+G12</f>
        <v>-5752.54440722625</v>
      </c>
    </row>
    <row r="14" customFormat="false" ht="12.75" hidden="false" customHeight="false" outlineLevel="0" collapsed="false">
      <c r="A14" s="149"/>
      <c r="B14" s="150" t="s">
        <v>50</v>
      </c>
      <c r="C14" s="4" t="n">
        <v>3.92</v>
      </c>
      <c r="E14" s="75" t="n">
        <f aca="false">E13+(E13*C13/100)</f>
        <v>7976.28367570592</v>
      </c>
      <c r="F14" s="37"/>
      <c r="G14" s="4" t="n">
        <f aca="false">E14-F14+G13</f>
        <v>2223.73926847967</v>
      </c>
    </row>
    <row r="15" customFormat="false" ht="12.75" hidden="false" customHeight="false" outlineLevel="0" collapsed="false">
      <c r="A15" s="149"/>
      <c r="B15" s="150" t="s">
        <v>51</v>
      </c>
      <c r="C15" s="4" t="n">
        <v>9.49</v>
      </c>
      <c r="E15" s="75" t="n">
        <f aca="false">E14+(E14*C14/100)</f>
        <v>8288.95399579359</v>
      </c>
      <c r="F15" s="37" t="n">
        <v>50000</v>
      </c>
      <c r="G15" s="4" t="n">
        <f aca="false">E15-F15+G14</f>
        <v>-39487.3067357267</v>
      </c>
    </row>
    <row r="16" customFormat="false" ht="12.75" hidden="false" customHeight="false" outlineLevel="0" collapsed="false">
      <c r="A16" s="149"/>
      <c r="B16" s="150" t="s">
        <v>52</v>
      </c>
      <c r="C16" s="4" t="n">
        <v>9.09</v>
      </c>
      <c r="E16" s="75" t="n">
        <f aca="false">E15+(E15*C15/100)</f>
        <v>9075.5757299944</v>
      </c>
      <c r="F16" s="37"/>
      <c r="G16" s="4" t="n">
        <f aca="false">E16-F16+G15</f>
        <v>-30411.7310057323</v>
      </c>
    </row>
    <row r="17" customFormat="false" ht="12.75" hidden="false" customHeight="false" outlineLevel="0" collapsed="false">
      <c r="A17" s="149"/>
      <c r="B17" s="150" t="s">
        <v>326</v>
      </c>
      <c r="C17" s="4" t="n">
        <v>4.75</v>
      </c>
      <c r="E17" s="75" t="n">
        <f aca="false">E16+(E16*C16/100)</f>
        <v>9900.54556385089</v>
      </c>
      <c r="F17" s="37"/>
      <c r="G17" s="4" t="n">
        <f aca="false">E17-F17+G16</f>
        <v>-20511.1854418814</v>
      </c>
    </row>
    <row r="18" customFormat="false" ht="12.75" hidden="false" customHeight="false" outlineLevel="0" collapsed="false">
      <c r="A18" s="149"/>
      <c r="B18" s="150" t="s">
        <v>54</v>
      </c>
      <c r="C18" s="4" t="n">
        <v>3.43</v>
      </c>
      <c r="E18" s="75" t="n">
        <f aca="false">E17+(E17*C17/100)</f>
        <v>10370.8214781338</v>
      </c>
      <c r="F18" s="37"/>
      <c r="G18" s="4" t="n">
        <f aca="false">E18-F18+G17</f>
        <v>-10140.3639637476</v>
      </c>
    </row>
    <row r="19" customFormat="false" ht="12.75" hidden="false" customHeight="false" outlineLevel="0" collapsed="false">
      <c r="A19" s="149" t="n">
        <v>45260</v>
      </c>
      <c r="B19" s="150" t="s">
        <v>327</v>
      </c>
      <c r="C19" s="4" t="n">
        <v>42.6451</v>
      </c>
      <c r="E19" s="75" t="n">
        <f aca="false">E18+(E18*C18/100)</f>
        <v>10726.5406548338</v>
      </c>
      <c r="F19" s="37" t="n">
        <v>15887.06</v>
      </c>
      <c r="G19" s="4" t="n">
        <f aca="false">E19-F19+G18</f>
        <v>-15300.8833089138</v>
      </c>
    </row>
    <row r="20" customFormat="false" ht="12.75" hidden="false" customHeight="false" outlineLevel="0" collapsed="false">
      <c r="A20" s="149" t="n">
        <v>45291</v>
      </c>
      <c r="B20" s="150" t="s">
        <v>56</v>
      </c>
      <c r="C20" s="4" t="n">
        <v>2.93</v>
      </c>
      <c r="E20" s="75" t="n">
        <f aca="false">E19+(E19*C19/100)</f>
        <v>15300.8846436283</v>
      </c>
      <c r="F20" s="37"/>
      <c r="G20" s="38" t="n">
        <f aca="false">E20-F20+G19</f>
        <v>0.00133471450499201</v>
      </c>
    </row>
    <row r="21" customFormat="false" ht="12.75" hidden="false" customHeight="false" outlineLevel="0" collapsed="false">
      <c r="A21" s="151"/>
      <c r="B21" s="152"/>
      <c r="C21" s="152"/>
      <c r="D21" s="153"/>
      <c r="E21" s="154"/>
      <c r="F21" s="155"/>
      <c r="G21" s="155"/>
    </row>
    <row r="22" customFormat="false" ht="12.75" hidden="false" customHeight="false" outlineLevel="0" collapsed="false">
      <c r="A22" s="149" t="n">
        <v>45322</v>
      </c>
      <c r="B22" s="156" t="s">
        <v>42</v>
      </c>
      <c r="C22" s="4" t="n">
        <v>6.71</v>
      </c>
      <c r="E22" s="75" t="n">
        <v>17002</v>
      </c>
      <c r="F22" s="37"/>
      <c r="G22" s="38" t="n">
        <f aca="false">E22-F22+G20</f>
        <v>17002.0013347145</v>
      </c>
    </row>
    <row r="23" customFormat="false" ht="12.75" hidden="false" customHeight="false" outlineLevel="0" collapsed="false">
      <c r="A23" s="149"/>
      <c r="B23" s="156" t="s">
        <v>44</v>
      </c>
      <c r="C23" s="4" t="n">
        <v>4.53</v>
      </c>
      <c r="E23" s="75" t="n">
        <f aca="false">E22+(E22*C22/100)</f>
        <v>18142.8342</v>
      </c>
      <c r="F23" s="37"/>
      <c r="G23" s="38" t="n">
        <f aca="false">E23-F23+G22</f>
        <v>35144.8355347145</v>
      </c>
    </row>
    <row r="24" customFormat="false" ht="12.75" hidden="false" customHeight="false" outlineLevel="0" collapsed="false">
      <c r="A24" s="149"/>
      <c r="B24" s="156" t="s">
        <v>46</v>
      </c>
      <c r="C24" s="4" t="n">
        <v>3.16</v>
      </c>
      <c r="E24" s="75" t="n">
        <f aca="false">E23+(E23*C23/100)</f>
        <v>18964.70458926</v>
      </c>
      <c r="F24" s="37"/>
      <c r="G24" s="38" t="n">
        <f aca="false">E24-F24+G23</f>
        <v>54109.5401239745</v>
      </c>
    </row>
    <row r="25" customFormat="false" ht="12.75" hidden="false" customHeight="false" outlineLevel="0" collapsed="false">
      <c r="A25" s="149"/>
      <c r="B25" s="157" t="s">
        <v>328</v>
      </c>
      <c r="E25" s="75"/>
      <c r="F25" s="37" t="n">
        <v>-3795</v>
      </c>
      <c r="G25" s="38" t="n">
        <f aca="false">E25-F25+G24</f>
        <v>57904.5401239745</v>
      </c>
    </row>
    <row r="26" customFormat="false" ht="12.75" hidden="false" customHeight="false" outlineLevel="0" collapsed="false">
      <c r="A26" s="149" t="n">
        <v>45397</v>
      </c>
      <c r="B26" s="156" t="s">
        <v>329</v>
      </c>
      <c r="C26" s="4" t="n">
        <v>3.18</v>
      </c>
      <c r="E26" s="75" t="n">
        <f aca="false">E24+(E24*C24/100)</f>
        <v>19563.9892542806</v>
      </c>
      <c r="F26" s="37" t="n">
        <v>85000</v>
      </c>
      <c r="G26" s="38" t="n">
        <f aca="false">E26-F26+G25</f>
        <v>-7531.47062174487</v>
      </c>
    </row>
    <row r="27" customFormat="false" ht="12.75" hidden="false" customHeight="false" outlineLevel="0" collapsed="false">
      <c r="A27" s="149"/>
      <c r="B27" s="157" t="s">
        <v>330</v>
      </c>
      <c r="E27" s="75"/>
      <c r="F27" s="37" t="n">
        <v>-5600</v>
      </c>
      <c r="G27" s="38" t="n">
        <f aca="false">E27-F27+G26</f>
        <v>-1931.47062174487</v>
      </c>
    </row>
    <row r="28" customFormat="false" ht="12.75" hidden="false" customHeight="false" outlineLevel="0" collapsed="false">
      <c r="A28" s="149"/>
      <c r="B28" s="158" t="s">
        <v>331</v>
      </c>
      <c r="C28" s="4" t="n">
        <v>3.37</v>
      </c>
      <c r="E28" s="75" t="n">
        <f aca="false">E26+(E26*C26/100)</f>
        <v>20186.1241125667</v>
      </c>
      <c r="F28" s="37"/>
      <c r="G28" s="38" t="n">
        <f aca="false">E28-F28+G27</f>
        <v>18254.6534908219</v>
      </c>
    </row>
    <row r="29" customFormat="false" ht="12.75" hidden="false" customHeight="false" outlineLevel="0" collapsed="false">
      <c r="A29" s="149"/>
      <c r="B29" s="158" t="s">
        <v>50</v>
      </c>
      <c r="C29" s="4" t="n">
        <v>3.6</v>
      </c>
      <c r="E29" s="75" t="n">
        <f aca="false">E28+(E28*C28/100)</f>
        <v>20866.3964951602</v>
      </c>
      <c r="G29" s="38" t="n">
        <f aca="false">E29-F29+G28</f>
        <v>39121.0499859821</v>
      </c>
    </row>
    <row r="30" customFormat="false" ht="12.75" hidden="false" customHeight="false" outlineLevel="0" collapsed="false">
      <c r="A30" s="149"/>
      <c r="B30" s="158" t="s">
        <v>51</v>
      </c>
      <c r="C30" s="4" t="n">
        <v>3.6</v>
      </c>
      <c r="E30" s="75" t="n">
        <f aca="false">E29+(E29*C29/100)</f>
        <v>21617.586768986</v>
      </c>
      <c r="G30" s="38" t="n">
        <f aca="false">E30-F30+G29</f>
        <v>60738.6367549681</v>
      </c>
    </row>
    <row r="31" customFormat="false" ht="12.75" hidden="false" customHeight="false" outlineLevel="0" collapsed="false">
      <c r="A31" s="149"/>
      <c r="B31" s="158" t="s">
        <v>52</v>
      </c>
      <c r="E31" s="75" t="n">
        <f aca="false">E30+(E30*C30/100)</f>
        <v>22395.8198926695</v>
      </c>
      <c r="G31" s="38" t="n">
        <f aca="false">E31-F31+G30</f>
        <v>83134.4566476376</v>
      </c>
    </row>
    <row r="32" customFormat="false" ht="12.75" hidden="false" customHeight="false" outlineLevel="0" collapsed="false">
      <c r="A32" s="149"/>
      <c r="B32" s="158" t="s">
        <v>332</v>
      </c>
      <c r="E32" s="75" t="n">
        <f aca="false">E31+(E31*C31/100)</f>
        <v>22395.8198926695</v>
      </c>
      <c r="G32" s="38" t="n">
        <f aca="false">E32-F32+G31</f>
        <v>105530.276540307</v>
      </c>
    </row>
    <row r="33" customFormat="false" ht="12.75" hidden="false" customHeight="false" outlineLevel="0" collapsed="false">
      <c r="A33" s="149"/>
      <c r="B33" s="158" t="s">
        <v>54</v>
      </c>
      <c r="E33" s="75" t="n">
        <f aca="false">E32+(E32*C32/100)</f>
        <v>22395.8198926695</v>
      </c>
      <c r="G33" s="38" t="n">
        <f aca="false">E33-F33+G32</f>
        <v>127926.096432977</v>
      </c>
    </row>
    <row r="34" customFormat="false" ht="12.75" hidden="false" customHeight="false" outlineLevel="0" collapsed="false">
      <c r="A34" s="149"/>
      <c r="B34" s="158" t="s">
        <v>55</v>
      </c>
      <c r="E34" s="75" t="n">
        <f aca="false">E33+(E33*C33/100)</f>
        <v>22395.8198926695</v>
      </c>
      <c r="G34" s="38" t="n">
        <f aca="false">E34-F34+G33</f>
        <v>150321.916325646</v>
      </c>
    </row>
    <row r="35" customFormat="false" ht="12.75" hidden="false" customHeight="false" outlineLevel="0" collapsed="false">
      <c r="A35" s="149"/>
      <c r="B35" s="158" t="s">
        <v>56</v>
      </c>
      <c r="E35" s="75" t="n">
        <f aca="false">E34+(E34*C34/100)</f>
        <v>22395.8198926695</v>
      </c>
      <c r="G35" s="38" t="n">
        <f aca="false">E35-F35+G34</f>
        <v>172717.736218316</v>
      </c>
    </row>
    <row r="36" customFormat="false" ht="12.75" hidden="false" customHeight="false" outlineLevel="0" collapsed="false">
      <c r="A36" s="149"/>
      <c r="B36" s="158" t="s">
        <v>42</v>
      </c>
      <c r="E36" s="75" t="n">
        <f aca="false">E35+(E35*C35/100)</f>
        <v>22395.8198926695</v>
      </c>
      <c r="G36" s="38" t="n">
        <f aca="false">E36-F36+G35</f>
        <v>195113.556110985</v>
      </c>
    </row>
    <row r="37" customFormat="false" ht="12.75" hidden="false" customHeight="false" outlineLevel="0" collapsed="false">
      <c r="A37" s="149"/>
      <c r="B37" s="158" t="s">
        <v>44</v>
      </c>
      <c r="E37" s="75" t="n">
        <f aca="false">E36+(E36*C36/100)</f>
        <v>22395.8198926695</v>
      </c>
      <c r="G37" s="38" t="n">
        <f aca="false">E37-F37+G36</f>
        <v>217509.376003655</v>
      </c>
    </row>
    <row r="38" customFormat="false" ht="12.75" hidden="false" customHeight="false" outlineLevel="0" collapsed="false">
      <c r="A38" s="149"/>
      <c r="B38" s="158" t="s">
        <v>46</v>
      </c>
      <c r="E38" s="75" t="n">
        <f aca="false">E37+(E37*C37/100)</f>
        <v>22395.8198926695</v>
      </c>
      <c r="G38" s="38" t="n">
        <f aca="false">E38-F38+G37</f>
        <v>239905.195896324</v>
      </c>
    </row>
    <row r="39" customFormat="false" ht="12.75" hidden="false" customHeight="false" outlineLevel="0" collapsed="false">
      <c r="A39" s="149"/>
      <c r="B39" s="158" t="s">
        <v>329</v>
      </c>
      <c r="E39" s="75" t="n">
        <f aca="false">E38+(E38*C38/100)</f>
        <v>22395.8198926695</v>
      </c>
      <c r="G39" s="38" t="n">
        <f aca="false">E39-F39+G38</f>
        <v>262301.015788994</v>
      </c>
    </row>
    <row r="40" customFormat="false" ht="12.75" hidden="false" customHeight="false" outlineLevel="0" collapsed="false">
      <c r="A40" s="159"/>
      <c r="E40" s="39"/>
      <c r="F40" s="19"/>
      <c r="G40" s="19"/>
    </row>
    <row r="41" customFormat="false" ht="12.75" hidden="false" customHeight="false" outlineLevel="0" collapsed="false">
      <c r="A41" s="159"/>
      <c r="E41" s="39"/>
      <c r="F41" s="19"/>
      <c r="G41" s="19"/>
    </row>
    <row r="42" customFormat="false" ht="12.75" hidden="false" customHeight="false" outlineLevel="0" collapsed="false">
      <c r="A42" s="146" t="str">
        <f aca="false">A7</f>
        <v> - 2024 -</v>
      </c>
      <c r="B42" s="27" t="s">
        <v>117</v>
      </c>
      <c r="C42" s="27" t="s">
        <v>118</v>
      </c>
      <c r="D42" s="27"/>
      <c r="E42" s="41" t="s">
        <v>39</v>
      </c>
      <c r="F42" s="28"/>
      <c r="G42" s="28" t="s">
        <v>333</v>
      </c>
    </row>
    <row r="43" customFormat="false" ht="12.75" hidden="false" customHeight="false" outlineLevel="0" collapsed="false">
      <c r="A43" s="159"/>
      <c r="B43" s="4" t="s">
        <v>41</v>
      </c>
      <c r="E43" s="39"/>
      <c r="F43" s="19"/>
      <c r="G43" s="19" t="n">
        <v>-2510.63</v>
      </c>
      <c r="I43" s="2"/>
      <c r="J43" s="2"/>
      <c r="K43" s="72"/>
      <c r="L43" s="72"/>
      <c r="M43" s="72"/>
    </row>
    <row r="44" customFormat="false" ht="12.75" hidden="false" customHeight="false" outlineLevel="0" collapsed="false">
      <c r="A44" s="159"/>
      <c r="B44" s="4" t="s">
        <v>119</v>
      </c>
      <c r="C44" s="4" t="n">
        <v>0</v>
      </c>
      <c r="E44" s="4" t="n">
        <v>781.86</v>
      </c>
      <c r="F44" s="4" t="n">
        <v>891.32</v>
      </c>
      <c r="G44" s="19" t="n">
        <f aca="false">E44-F44+G43</f>
        <v>-2620.09</v>
      </c>
      <c r="K44" s="4"/>
      <c r="L44" s="4"/>
      <c r="M44" s="4"/>
    </row>
    <row r="45" customFormat="false" ht="12.75" hidden="false" customHeight="false" outlineLevel="0" collapsed="false">
      <c r="A45" s="159"/>
      <c r="B45" s="4" t="s">
        <v>120</v>
      </c>
      <c r="C45" s="4" t="n">
        <v>0</v>
      </c>
      <c r="E45" s="4" t="n">
        <v>2044.36</v>
      </c>
      <c r="F45" s="4" t="n">
        <v>2248.8</v>
      </c>
      <c r="G45" s="19" t="n">
        <f aca="false">E45-F45+G44</f>
        <v>-2824.53</v>
      </c>
      <c r="J45" s="2"/>
      <c r="K45" s="4"/>
      <c r="L45" s="4"/>
      <c r="M45" s="4"/>
    </row>
    <row r="46" customFormat="false" ht="12.75" hidden="false" customHeight="false" outlineLevel="0" collapsed="false">
      <c r="A46" s="159"/>
      <c r="B46" s="4" t="s">
        <v>121</v>
      </c>
      <c r="G46" s="19" t="n">
        <f aca="false">E46-F46+G45</f>
        <v>-2824.53</v>
      </c>
      <c r="J46" s="2"/>
      <c r="K46" s="4"/>
      <c r="L46" s="4"/>
      <c r="M46" s="4"/>
    </row>
    <row r="47" customFormat="false" ht="12.75" hidden="false" customHeight="false" outlineLevel="0" collapsed="false">
      <c r="A47" s="159"/>
      <c r="B47" s="4" t="s">
        <v>122</v>
      </c>
      <c r="G47" s="19" t="n">
        <f aca="false">E47-F47+G46</f>
        <v>-2824.53</v>
      </c>
      <c r="J47" s="2"/>
      <c r="K47" s="4"/>
      <c r="L47" s="4"/>
      <c r="M47" s="4"/>
    </row>
    <row r="48" customFormat="false" ht="12.75" hidden="false" customHeight="false" outlineLevel="0" collapsed="false">
      <c r="A48" s="159"/>
      <c r="B48" s="4" t="s">
        <v>123</v>
      </c>
      <c r="G48" s="19" t="n">
        <f aca="false">E48-F48+G47</f>
        <v>-2824.53</v>
      </c>
      <c r="J48" s="2"/>
      <c r="K48" s="4"/>
      <c r="L48" s="4"/>
      <c r="M48" s="4"/>
    </row>
    <row r="49" customFormat="false" ht="12.75" hidden="false" customHeight="false" outlineLevel="0" collapsed="false">
      <c r="A49" s="159"/>
      <c r="B49" s="4" t="s">
        <v>124</v>
      </c>
      <c r="G49" s="19" t="n">
        <f aca="false">E49-F49+G48</f>
        <v>-2824.53</v>
      </c>
      <c r="J49" s="2"/>
      <c r="K49" s="4"/>
      <c r="L49" s="4"/>
      <c r="M49" s="4"/>
    </row>
    <row r="50" customFormat="false" ht="12.75" hidden="false" customHeight="false" outlineLevel="0" collapsed="false">
      <c r="A50" s="159"/>
      <c r="B50" s="4" t="s">
        <v>125</v>
      </c>
      <c r="G50" s="19" t="n">
        <f aca="false">E50-F50+G49</f>
        <v>-2824.53</v>
      </c>
      <c r="J50" s="2"/>
      <c r="K50" s="4"/>
      <c r="L50" s="4"/>
      <c r="M50" s="4"/>
    </row>
    <row r="51" customFormat="false" ht="12.75" hidden="false" customHeight="false" outlineLevel="0" collapsed="false">
      <c r="A51" s="159"/>
      <c r="B51" s="4" t="s">
        <v>126</v>
      </c>
      <c r="G51" s="19" t="n">
        <f aca="false">E51-F51+G50</f>
        <v>-2824.53</v>
      </c>
      <c r="J51" s="2"/>
      <c r="K51" s="4"/>
      <c r="L51" s="4"/>
      <c r="M51" s="4"/>
    </row>
    <row r="52" customFormat="false" ht="12.75" hidden="false" customHeight="false" outlineLevel="0" collapsed="false">
      <c r="A52" s="159"/>
      <c r="B52" s="4" t="s">
        <v>127</v>
      </c>
      <c r="G52" s="19" t="n">
        <f aca="false">E52-F52+G51</f>
        <v>-2824.53</v>
      </c>
      <c r="J52" s="2"/>
      <c r="K52" s="4"/>
      <c r="L52" s="4"/>
      <c r="M52" s="4"/>
    </row>
    <row r="53" customFormat="false" ht="12.75" hidden="false" customHeight="false" outlineLevel="0" collapsed="false">
      <c r="A53" s="159"/>
      <c r="B53" s="4" t="s">
        <v>128</v>
      </c>
      <c r="E53" s="72"/>
      <c r="F53" s="72"/>
      <c r="G53" s="19" t="n">
        <f aca="false">E53-F53+G52</f>
        <v>-2824.53</v>
      </c>
      <c r="J53" s="2"/>
      <c r="K53" s="4"/>
      <c r="L53" s="4"/>
      <c r="M53" s="4"/>
    </row>
    <row r="54" customFormat="false" ht="12.75" hidden="false" customHeight="false" outlineLevel="0" collapsed="false">
      <c r="A54" s="159"/>
      <c r="B54" s="4" t="s">
        <v>129</v>
      </c>
      <c r="E54" s="39"/>
      <c r="F54" s="19"/>
      <c r="G54" s="19" t="n">
        <f aca="false">E54-F54+G53</f>
        <v>-2824.53</v>
      </c>
      <c r="I54" s="2"/>
      <c r="J54" s="2"/>
      <c r="K54" s="4"/>
      <c r="L54" s="72"/>
      <c r="M54" s="4"/>
    </row>
    <row r="55" customFormat="false" ht="12.75" hidden="false" customHeight="false" outlineLevel="0" collapsed="false">
      <c r="A55" s="146"/>
      <c r="B55" s="27" t="s">
        <v>130</v>
      </c>
      <c r="C55" s="27"/>
      <c r="D55" s="27"/>
      <c r="E55" s="41"/>
      <c r="F55" s="28"/>
      <c r="G55" s="28" t="n">
        <f aca="false">E55-F55+G54</f>
        <v>-2824.53</v>
      </c>
      <c r="I55" s="2"/>
      <c r="K55" s="160"/>
      <c r="L55" s="4"/>
      <c r="M55" s="4"/>
    </row>
    <row r="56" customFormat="false" ht="12.75" hidden="false" customHeight="false" outlineLevel="0" collapsed="false">
      <c r="A56" s="161" t="n">
        <v>45657</v>
      </c>
      <c r="B56" s="43" t="s">
        <v>41</v>
      </c>
      <c r="C56" s="43" t="n">
        <f aca="false">SUM(C44:C55)</f>
        <v>0</v>
      </c>
      <c r="D56" s="43"/>
      <c r="E56" s="45"/>
      <c r="F56" s="46"/>
      <c r="G56" s="47" t="n">
        <f aca="false">E56-F56+G55</f>
        <v>-2824.53</v>
      </c>
      <c r="I56" s="2"/>
      <c r="K56" s="160"/>
      <c r="L56" s="4"/>
      <c r="M56" s="4"/>
    </row>
    <row r="57" customFormat="false" ht="12.75" hidden="false" customHeight="false" outlineLevel="0" collapsed="false">
      <c r="A57" s="159"/>
      <c r="E57" s="39"/>
      <c r="F57" s="39"/>
      <c r="G57" s="28"/>
      <c r="K57" s="160"/>
      <c r="L57" s="4"/>
      <c r="M57" s="4"/>
    </row>
    <row r="58" customFormat="false" ht="12.75" hidden="false" customHeight="false" outlineLevel="0" collapsed="false">
      <c r="A58" s="144"/>
      <c r="J58" s="4"/>
      <c r="K58" s="4"/>
      <c r="L58" s="4"/>
      <c r="M58" s="4"/>
    </row>
    <row r="59" customFormat="false" ht="12.75" hidden="false" customHeight="false" outlineLevel="0" collapsed="false">
      <c r="A59" s="162" t="s">
        <v>334</v>
      </c>
      <c r="B59" s="49" t="s">
        <v>58</v>
      </c>
      <c r="C59" s="49"/>
      <c r="D59" s="49"/>
      <c r="E59" s="68"/>
      <c r="F59" s="29"/>
      <c r="G59" s="52" t="n">
        <f aca="false">SUM(F60)</f>
        <v>0</v>
      </c>
      <c r="J59" s="4"/>
      <c r="K59" s="4"/>
      <c r="L59" s="4"/>
      <c r="M59" s="4"/>
    </row>
    <row r="60" customFormat="false" ht="12.75" hidden="false" customHeight="false" outlineLevel="0" collapsed="false">
      <c r="A60" s="144"/>
      <c r="B60" s="10"/>
      <c r="C60" s="10"/>
      <c r="D60" s="10"/>
    </row>
    <row r="61" customFormat="false" ht="12.75" hidden="false" customHeight="false" outlineLevel="0" collapsed="false">
      <c r="A61" s="144"/>
      <c r="B61" s="10"/>
      <c r="C61" s="10"/>
      <c r="D61" s="10"/>
    </row>
    <row r="62" customFormat="false" ht="12.75" hidden="false" customHeight="false" outlineLevel="0" collapsed="false">
      <c r="A62" s="144"/>
      <c r="B62" s="10"/>
      <c r="C62" s="10"/>
      <c r="D62" s="10"/>
    </row>
    <row r="63" customFormat="false" ht="12.75" hidden="false" customHeight="false" outlineLevel="0" collapsed="false">
      <c r="A63" s="149"/>
      <c r="B63" s="4" t="s">
        <v>335</v>
      </c>
    </row>
    <row r="64" customFormat="false" ht="12.75" hidden="false" customHeight="false" outlineLevel="0" collapsed="false">
      <c r="A64" s="149"/>
    </row>
    <row r="65" customFormat="false" ht="12.75" hidden="false" customHeight="false" outlineLevel="0" collapsed="false">
      <c r="A65" s="149"/>
      <c r="B65" s="4" t="s">
        <v>336</v>
      </c>
      <c r="E65" s="4" t="n">
        <v>48000</v>
      </c>
      <c r="G65" s="4" t="n">
        <f aca="false">G63+E65-F65</f>
        <v>48000</v>
      </c>
    </row>
    <row r="66" customFormat="false" ht="12.75" hidden="false" customHeight="false" outlineLevel="0" collapsed="false">
      <c r="A66" s="149" t="n">
        <v>44651</v>
      </c>
      <c r="B66" s="4" t="s">
        <v>337</v>
      </c>
      <c r="F66" s="4" t="n">
        <v>28000</v>
      </c>
      <c r="G66" s="4" t="n">
        <f aca="false">G65+E66-F66</f>
        <v>20000</v>
      </c>
    </row>
    <row r="67" customFormat="false" ht="12.75" hidden="false" customHeight="false" outlineLevel="0" collapsed="false">
      <c r="A67" s="149" t="n">
        <v>44681</v>
      </c>
      <c r="B67" s="4" t="s">
        <v>338</v>
      </c>
      <c r="F67" s="4" t="n">
        <v>4000</v>
      </c>
      <c r="G67" s="4" t="n">
        <f aca="false">G66+E67-F67</f>
        <v>16000</v>
      </c>
    </row>
    <row r="68" customFormat="false" ht="12.75" hidden="false" customHeight="false" outlineLevel="0" collapsed="false">
      <c r="A68" s="149" t="n">
        <v>44711</v>
      </c>
      <c r="B68" s="4" t="s">
        <v>339</v>
      </c>
      <c r="F68" s="4" t="n">
        <v>4000</v>
      </c>
      <c r="G68" s="4" t="n">
        <f aca="false">G67+E68-F68</f>
        <v>12000</v>
      </c>
    </row>
    <row r="69" customFormat="false" ht="12.75" hidden="false" customHeight="false" outlineLevel="0" collapsed="false">
      <c r="A69" s="149" t="n">
        <v>44742</v>
      </c>
      <c r="B69" s="4" t="s">
        <v>340</v>
      </c>
      <c r="G69" s="4" t="n">
        <f aca="false">G68+E69-F69</f>
        <v>12000</v>
      </c>
    </row>
    <row r="70" customFormat="false" ht="12.75" hidden="false" customHeight="false" outlineLevel="0" collapsed="false">
      <c r="A70" s="149" t="n">
        <v>44772</v>
      </c>
      <c r="B70" s="4" t="s">
        <v>341</v>
      </c>
      <c r="G70" s="4" t="n">
        <f aca="false">G69+E70-F70</f>
        <v>12000</v>
      </c>
    </row>
    <row r="71" customFormat="false" ht="12.75" hidden="false" customHeight="false" outlineLevel="0" collapsed="false">
      <c r="A71" s="149" t="n">
        <v>44803</v>
      </c>
      <c r="B71" s="4" t="s">
        <v>342</v>
      </c>
      <c r="G71" s="4" t="n">
        <f aca="false">G70+E71-F71</f>
        <v>12000</v>
      </c>
    </row>
    <row r="72" customFormat="false" ht="12.75" hidden="false" customHeight="false" outlineLevel="0" collapsed="false">
      <c r="A72" s="149"/>
    </row>
    <row r="73" customFormat="false" ht="12.75" hidden="false" customHeight="false" outlineLevel="0" collapsed="false">
      <c r="B73" s="4" t="s">
        <v>343</v>
      </c>
    </row>
    <row r="74" customFormat="false" ht="12.75" hidden="false" customHeight="false" outlineLevel="0" collapsed="false">
      <c r="B74" s="4" t="s">
        <v>344</v>
      </c>
    </row>
    <row r="75" customFormat="false" ht="12.75" hidden="false" customHeight="false" outlineLevel="0" collapsed="false">
      <c r="A75" s="149"/>
    </row>
    <row r="76" customFormat="false" ht="12.75" hidden="false" customHeight="false" outlineLevel="0" collapsed="false">
      <c r="A76" s="144"/>
      <c r="B76" s="10"/>
      <c r="C76" s="10"/>
      <c r="D76" s="10"/>
    </row>
    <row r="77" customFormat="false" ht="12.75" hidden="false" customHeight="false" outlineLevel="0" collapsed="false">
      <c r="A77" s="144"/>
      <c r="B77" s="10"/>
      <c r="C77" s="10"/>
      <c r="D77" s="10"/>
    </row>
    <row r="78" customFormat="false" ht="12.75" hidden="false" customHeight="false" outlineLevel="0" collapsed="false">
      <c r="A78" s="144"/>
      <c r="B78" s="10"/>
      <c r="C78" s="10"/>
      <c r="D78" s="10"/>
    </row>
    <row r="79" customFormat="false" ht="12.75" hidden="false" customHeight="false" outlineLevel="0" collapsed="false">
      <c r="A79" s="144"/>
      <c r="B79" s="10"/>
      <c r="C79" s="10"/>
      <c r="D79" s="10"/>
    </row>
    <row r="80" customFormat="false" ht="12.75" hidden="false" customHeight="false" outlineLevel="0" collapsed="false">
      <c r="A80" s="144"/>
      <c r="B80" s="10"/>
      <c r="C80" s="10"/>
      <c r="D80" s="10"/>
    </row>
    <row r="81" customFormat="false" ht="19.7" hidden="false" customHeight="false" outlineLevel="0" collapsed="false">
      <c r="B81" s="163" t="n">
        <v>2023</v>
      </c>
      <c r="C81" s="10"/>
      <c r="D81" s="10"/>
    </row>
    <row r="82" customFormat="false" ht="12.75" hidden="false" customHeight="false" outlineLevel="0" collapsed="false">
      <c r="A82" s="144"/>
      <c r="B82" s="10"/>
      <c r="C82" s="10"/>
      <c r="D82" s="10"/>
    </row>
    <row r="83" customFormat="false" ht="12.75" hidden="false" customHeight="false" outlineLevel="0" collapsed="false">
      <c r="A83" s="144" t="n">
        <v>45315</v>
      </c>
      <c r="B83" s="10" t="s">
        <v>345</v>
      </c>
      <c r="C83" s="10"/>
      <c r="D83" s="10"/>
    </row>
    <row r="84" customFormat="false" ht="12.75" hidden="false" customHeight="false" outlineLevel="0" collapsed="false">
      <c r="A84" s="143" t="n">
        <v>45236</v>
      </c>
      <c r="B84" s="4" t="s">
        <v>346</v>
      </c>
      <c r="E84" s="160"/>
    </row>
    <row r="85" customFormat="false" ht="12.75" hidden="false" customHeight="false" outlineLevel="0" collapsed="false">
      <c r="A85" s="143" t="n">
        <v>45236</v>
      </c>
      <c r="B85" s="2" t="s">
        <v>347</v>
      </c>
      <c r="E85" s="160"/>
    </row>
    <row r="86" customFormat="false" ht="12.75" hidden="false" customHeight="false" outlineLevel="0" collapsed="false">
      <c r="A86" s="164"/>
      <c r="C86" s="165"/>
      <c r="D86" s="165"/>
      <c r="E86" s="126"/>
      <c r="F86" s="126"/>
    </row>
    <row r="87" customFormat="false" ht="12.75" hidden="false" customHeight="false" outlineLevel="0" collapsed="false">
      <c r="A87" s="143" t="n">
        <v>45236</v>
      </c>
      <c r="B87" s="4" t="s">
        <v>348</v>
      </c>
      <c r="E87" s="160"/>
    </row>
    <row r="88" customFormat="false" ht="12.75" hidden="false" customHeight="false" outlineLevel="0" collapsed="false">
      <c r="B88" s="4" t="s">
        <v>349</v>
      </c>
      <c r="E88" s="160"/>
    </row>
    <row r="89" customFormat="false" ht="12.75" hidden="false" customHeight="false" outlineLevel="0" collapsed="false">
      <c r="B89" s="4" t="s">
        <v>350</v>
      </c>
      <c r="E89" s="160"/>
    </row>
    <row r="90" customFormat="false" ht="12.75" hidden="false" customHeight="false" outlineLevel="0" collapsed="false">
      <c r="B90" s="4" t="s">
        <v>351</v>
      </c>
    </row>
    <row r="91" customFormat="false" ht="12.75" hidden="false" customHeight="false" outlineLevel="0" collapsed="false">
      <c r="B91" s="4" t="s">
        <v>352</v>
      </c>
    </row>
    <row r="92" customFormat="false" ht="12.75" hidden="false" customHeight="false" outlineLevel="0" collapsed="false">
      <c r="B92" s="4" t="s">
        <v>353</v>
      </c>
    </row>
    <row r="94" customFormat="false" ht="12.75" hidden="false" customHeight="false" outlineLevel="0" collapsed="false">
      <c r="E94" s="4" t="s">
        <v>354</v>
      </c>
      <c r="F94" s="4" t="s">
        <v>224</v>
      </c>
    </row>
    <row r="95" customFormat="false" ht="12.75" hidden="false" customHeight="false" outlineLevel="0" collapsed="false">
      <c r="A95" s="143" t="n">
        <v>45236</v>
      </c>
      <c r="B95" s="4" t="s">
        <v>355</v>
      </c>
      <c r="C95" s="4" t="n">
        <v>0.65</v>
      </c>
      <c r="E95" s="4" t="n">
        <v>84000</v>
      </c>
      <c r="F95" s="4" t="n">
        <f aca="false">E95*C95</f>
        <v>54600</v>
      </c>
      <c r="G95" s="4" t="n">
        <f aca="false">F95+E95</f>
        <v>138600</v>
      </c>
    </row>
    <row r="98" customFormat="false" ht="108.95" hidden="false" customHeight="false" outlineLevel="0" collapsed="false">
      <c r="A98" s="143" t="n">
        <v>45236</v>
      </c>
      <c r="E98" s="166" t="s">
        <v>356</v>
      </c>
      <c r="F98" s="166" t="s">
        <v>357</v>
      </c>
      <c r="G98" s="166" t="s">
        <v>358</v>
      </c>
    </row>
    <row r="99" customFormat="false" ht="28.35" hidden="false" customHeight="false" outlineLevel="0" collapsed="false">
      <c r="B99" s="166" t="s">
        <v>359</v>
      </c>
      <c r="C99" s="4" t="n">
        <v>11.5</v>
      </c>
      <c r="E99" s="4" t="n">
        <v>138000</v>
      </c>
    </row>
    <row r="100" customFormat="false" ht="41.75" hidden="false" customHeight="false" outlineLevel="0" collapsed="false">
      <c r="B100" s="167" t="s">
        <v>360</v>
      </c>
      <c r="C100" s="4" t="n">
        <v>12</v>
      </c>
      <c r="E100" s="4" t="n">
        <v>84000</v>
      </c>
      <c r="F100" s="4" t="n">
        <v>12000</v>
      </c>
      <c r="G100" s="4" t="n">
        <v>144000</v>
      </c>
    </row>
    <row r="101" customFormat="false" ht="37.5" hidden="false" customHeight="true" outlineLevel="0" collapsed="false">
      <c r="B101" s="166" t="s">
        <v>361</v>
      </c>
      <c r="C101" s="4" t="n">
        <v>14</v>
      </c>
      <c r="E101" s="4" t="n">
        <v>98000</v>
      </c>
      <c r="F101" s="4" t="n">
        <v>14000</v>
      </c>
      <c r="G101" s="4" t="n">
        <v>168000</v>
      </c>
    </row>
    <row r="102" customFormat="false" ht="12.75" hidden="false" customHeight="false" outlineLevel="0" collapsed="false">
      <c r="A102" s="168"/>
      <c r="C102" s="2"/>
      <c r="D102" s="2"/>
      <c r="E102" s="72"/>
      <c r="F102" s="72"/>
    </row>
    <row r="103" customFormat="false" ht="12.75" hidden="false" customHeight="false" outlineLevel="0" collapsed="false">
      <c r="J103" s="4"/>
    </row>
    <row r="104" customFormat="false" ht="12.75" hidden="false" customHeight="false" outlineLevel="0" collapsed="false">
      <c r="B104" s="4" t="s">
        <v>362</v>
      </c>
      <c r="G104" s="4" t="n">
        <f aca="false">G103+E104-F104</f>
        <v>0</v>
      </c>
      <c r="J104" s="4"/>
    </row>
    <row r="105" customFormat="false" ht="12.75" hidden="false" customHeight="false" outlineLevel="0" collapsed="false">
      <c r="B105" s="4" t="s">
        <v>363</v>
      </c>
      <c r="F105" s="4" t="n">
        <v>20.95</v>
      </c>
      <c r="G105" s="4" t="n">
        <f aca="false">G104+E105-F105</f>
        <v>-20.95</v>
      </c>
      <c r="J105" s="4"/>
    </row>
    <row r="106" customFormat="false" ht="12.75" hidden="false" customHeight="false" outlineLevel="0" collapsed="false">
      <c r="B106" s="4" t="s">
        <v>364</v>
      </c>
      <c r="F106" s="4" t="n">
        <v>11.93</v>
      </c>
      <c r="G106" s="4" t="n">
        <f aca="false">G105+E106-F106</f>
        <v>-32.88</v>
      </c>
      <c r="J106" s="4"/>
    </row>
    <row r="107" customFormat="false" ht="12.75" hidden="false" customHeight="false" outlineLevel="0" collapsed="false">
      <c r="A107" s="168"/>
      <c r="B107" s="4" t="s">
        <v>365</v>
      </c>
      <c r="F107" s="4" t="n">
        <v>0</v>
      </c>
      <c r="G107" s="4" t="n">
        <f aca="false">G106+E107-F107</f>
        <v>-32.88</v>
      </c>
      <c r="J107" s="4"/>
    </row>
    <row r="108" customFormat="false" ht="12.75" hidden="false" customHeight="false" outlineLevel="0" collapsed="false">
      <c r="A108" s="168"/>
      <c r="B108" s="4" t="s">
        <v>366</v>
      </c>
      <c r="F108" s="4" t="n">
        <v>23.25</v>
      </c>
      <c r="G108" s="4" t="n">
        <f aca="false">G107+E108-F108</f>
        <v>-56.13</v>
      </c>
      <c r="J108" s="4"/>
    </row>
    <row r="109" customFormat="false" ht="12.75" hidden="false" customHeight="false" outlineLevel="0" collapsed="false">
      <c r="A109" s="169"/>
      <c r="B109" s="4" t="s">
        <v>300</v>
      </c>
      <c r="F109" s="4" t="n">
        <v>42.14</v>
      </c>
      <c r="G109" s="4" t="n">
        <f aca="false">G108+E109-F109</f>
        <v>-98.27</v>
      </c>
      <c r="J109" s="4"/>
    </row>
    <row r="110" customFormat="false" ht="12.75" hidden="false" customHeight="false" outlineLevel="0" collapsed="false">
      <c r="B110" s="4" t="s">
        <v>301</v>
      </c>
      <c r="F110" s="4" t="n">
        <v>39.37</v>
      </c>
      <c r="G110" s="4" t="n">
        <f aca="false">G109+E110-F110</f>
        <v>-137.64</v>
      </c>
      <c r="J110" s="4"/>
      <c r="K110" s="4"/>
    </row>
    <row r="111" customFormat="false" ht="12.75" hidden="false" customHeight="false" outlineLevel="0" collapsed="false">
      <c r="B111" s="4" t="s">
        <v>302</v>
      </c>
      <c r="F111" s="4" t="n">
        <v>150.16</v>
      </c>
      <c r="G111" s="4" t="n">
        <f aca="false">G110+E111-F111</f>
        <v>-287.8</v>
      </c>
      <c r="J111" s="4"/>
      <c r="K111" s="4"/>
    </row>
    <row r="112" customFormat="false" ht="12.75" hidden="false" customHeight="false" outlineLevel="0" collapsed="false">
      <c r="B112" s="4" t="s">
        <v>303</v>
      </c>
      <c r="F112" s="4" t="n">
        <v>216.76</v>
      </c>
      <c r="G112" s="4" t="n">
        <f aca="false">G111+E112-F112</f>
        <v>-504.56</v>
      </c>
      <c r="J112" s="4"/>
      <c r="K112" s="4"/>
    </row>
    <row r="113" customFormat="false" ht="12.75" hidden="false" customHeight="false" outlineLevel="0" collapsed="false">
      <c r="B113" s="4" t="s">
        <v>367</v>
      </c>
      <c r="F113" s="4" t="n">
        <v>132.72</v>
      </c>
      <c r="G113" s="4" t="n">
        <f aca="false">G112+E113-F113</f>
        <v>-637.28</v>
      </c>
      <c r="J113" s="4"/>
      <c r="K113" s="4"/>
    </row>
    <row r="114" customFormat="false" ht="12.75" hidden="false" customHeight="false" outlineLevel="0" collapsed="false">
      <c r="E114" s="4" t="n">
        <v>404.76</v>
      </c>
      <c r="G114" s="4" t="n">
        <f aca="false">G113+E114-F114</f>
        <v>-232.52</v>
      </c>
      <c r="J114" s="4"/>
      <c r="K114" s="4"/>
    </row>
    <row r="115" customFormat="false" ht="12.75" hidden="false" customHeight="false" outlineLevel="0" collapsed="false">
      <c r="B115" s="2" t="s">
        <v>368</v>
      </c>
      <c r="C115" s="2"/>
      <c r="D115" s="2"/>
      <c r="E115" s="72"/>
      <c r="F115" s="72"/>
      <c r="G115" s="72" t="n">
        <f aca="false">G114+E115-F115</f>
        <v>-232.52</v>
      </c>
      <c r="J115" s="4"/>
      <c r="K115" s="4"/>
    </row>
    <row r="116" customFormat="false" ht="12.75" hidden="false" customHeight="false" outlineLevel="0" collapsed="false">
      <c r="J116" s="4"/>
      <c r="K116" s="4"/>
    </row>
    <row r="118" customFormat="false" ht="12.75" hidden="false" customHeight="false" outlineLevel="0" collapsed="false">
      <c r="A118" s="149"/>
      <c r="B118" s="170" t="s">
        <v>369</v>
      </c>
      <c r="C118" s="109"/>
      <c r="D118" s="109"/>
      <c r="E118" s="171"/>
      <c r="F118" s="172"/>
    </row>
    <row r="119" customFormat="false" ht="12.75" hidden="false" customHeight="false" outlineLevel="0" collapsed="false">
      <c r="A119" s="149"/>
      <c r="B119" s="173" t="s">
        <v>370</v>
      </c>
      <c r="E119" s="174" t="n">
        <v>48000</v>
      </c>
      <c r="F119" s="175" t="n">
        <f aca="false">E119</f>
        <v>48000</v>
      </c>
    </row>
    <row r="120" customFormat="false" ht="12.75" hidden="false" customHeight="false" outlineLevel="0" collapsed="false">
      <c r="A120" s="149"/>
      <c r="B120" s="176" t="s">
        <v>371</v>
      </c>
      <c r="C120" s="2"/>
      <c r="D120" s="2"/>
      <c r="E120" s="72" t="n">
        <v>6920</v>
      </c>
      <c r="F120" s="177" t="n">
        <f aca="false">F119-E120</f>
        <v>41080</v>
      </c>
    </row>
    <row r="121" customFormat="false" ht="12.75" hidden="false" customHeight="false" outlineLevel="0" collapsed="false">
      <c r="B121" s="178" t="s">
        <v>372</v>
      </c>
      <c r="C121" s="2"/>
      <c r="D121" s="2"/>
      <c r="E121" s="72" t="n">
        <v>13000</v>
      </c>
      <c r="F121" s="177" t="n">
        <f aca="false">F120-E121</f>
        <v>28080</v>
      </c>
    </row>
    <row r="122" customFormat="false" ht="12.75" hidden="false" customHeight="false" outlineLevel="0" collapsed="false">
      <c r="B122" s="179" t="s">
        <v>373</v>
      </c>
      <c r="F122" s="177" t="n">
        <f aca="false">F121-E122</f>
        <v>28080</v>
      </c>
    </row>
    <row r="123" customFormat="false" ht="12.75" hidden="false" customHeight="false" outlineLevel="0" collapsed="false">
      <c r="B123" s="179" t="s">
        <v>374</v>
      </c>
      <c r="F123" s="177" t="n">
        <f aca="false">F122-E123</f>
        <v>28080</v>
      </c>
    </row>
    <row r="124" customFormat="false" ht="12.75" hidden="false" customHeight="false" outlineLevel="0" collapsed="false">
      <c r="B124" s="179" t="s">
        <v>375</v>
      </c>
      <c r="F124" s="177" t="n">
        <f aca="false">F123-E124</f>
        <v>28080</v>
      </c>
      <c r="G124" s="72"/>
    </row>
    <row r="125" customFormat="false" ht="14.9" hidden="false" customHeight="false" outlineLevel="0" collapsed="false">
      <c r="B125" s="180" t="s">
        <v>376</v>
      </c>
      <c r="F125" s="177" t="n">
        <f aca="false">F124-E125</f>
        <v>28080</v>
      </c>
      <c r="G125" s="72"/>
    </row>
    <row r="126" customFormat="false" ht="12.75" hidden="false" customHeight="false" outlineLevel="0" collapsed="false">
      <c r="B126" s="179" t="s">
        <v>377</v>
      </c>
      <c r="F126" s="177" t="n">
        <f aca="false">F125-E126</f>
        <v>28080</v>
      </c>
      <c r="G126" s="72"/>
    </row>
    <row r="127" customFormat="false" ht="12.75" hidden="false" customHeight="false" outlineLevel="0" collapsed="false">
      <c r="B127" s="176" t="s">
        <v>378</v>
      </c>
      <c r="C127" s="2"/>
      <c r="D127" s="2"/>
      <c r="E127" s="72" t="n">
        <v>28080</v>
      </c>
      <c r="F127" s="177" t="n">
        <f aca="false">F126-E127</f>
        <v>0</v>
      </c>
      <c r="G127" s="72"/>
    </row>
    <row r="128" customFormat="false" ht="12.75" hidden="false" customHeight="false" outlineLevel="0" collapsed="false">
      <c r="B128" s="179"/>
      <c r="F128" s="177"/>
      <c r="G128" s="72"/>
    </row>
    <row r="129" customFormat="false" ht="12.75" hidden="false" customHeight="false" outlineLevel="0" collapsed="false">
      <c r="B129" s="179"/>
      <c r="F129" s="177"/>
      <c r="G129" s="181"/>
    </row>
    <row r="130" customFormat="false" ht="12.75" hidden="false" customHeight="false" outlineLevel="0" collapsed="false">
      <c r="B130" s="182" t="s">
        <v>379</v>
      </c>
      <c r="E130" s="4" t="n">
        <v>83000</v>
      </c>
      <c r="F130" s="177" t="n">
        <v>83000</v>
      </c>
    </row>
    <row r="131" customFormat="false" ht="12.75" hidden="false" customHeight="false" outlineLevel="0" collapsed="false">
      <c r="B131" s="179" t="s">
        <v>374</v>
      </c>
      <c r="F131" s="177" t="n">
        <f aca="false">F130-E131</f>
        <v>83000</v>
      </c>
    </row>
    <row r="132" customFormat="false" ht="12.75" hidden="false" customHeight="false" outlineLevel="0" collapsed="false">
      <c r="B132" s="179" t="s">
        <v>375</v>
      </c>
      <c r="F132" s="177" t="n">
        <f aca="false">F131-E132</f>
        <v>83000</v>
      </c>
      <c r="G132" s="72"/>
    </row>
    <row r="133" customFormat="false" ht="14.9" hidden="false" customHeight="false" outlineLevel="0" collapsed="false">
      <c r="B133" s="183" t="s">
        <v>380</v>
      </c>
      <c r="F133" s="177" t="n">
        <f aca="false">F132-E133</f>
        <v>83000</v>
      </c>
      <c r="G133" s="72"/>
    </row>
    <row r="134" customFormat="false" ht="12.75" hidden="false" customHeight="false" outlineLevel="0" collapsed="false">
      <c r="B134" s="182" t="s">
        <v>377</v>
      </c>
      <c r="F134" s="177" t="n">
        <f aca="false">F133-E134</f>
        <v>83000</v>
      </c>
      <c r="G134" s="72"/>
    </row>
    <row r="135" customFormat="false" ht="12.75" hidden="false" customHeight="false" outlineLevel="0" collapsed="false">
      <c r="B135" s="182"/>
      <c r="F135" s="177" t="n">
        <f aca="false">F134-E135</f>
        <v>83000</v>
      </c>
      <c r="G135" s="72"/>
    </row>
    <row r="136" customFormat="false" ht="12.75" hidden="false" customHeight="false" outlineLevel="0" collapsed="false">
      <c r="B136" s="178" t="s">
        <v>381</v>
      </c>
      <c r="E136" s="72" t="n">
        <v>50000</v>
      </c>
      <c r="F136" s="177" t="n">
        <f aca="false">F135-E136</f>
        <v>33000</v>
      </c>
      <c r="G136" s="72"/>
    </row>
    <row r="137" customFormat="false" ht="12.75" hidden="false" customHeight="false" outlineLevel="0" collapsed="false">
      <c r="B137" s="184" t="s">
        <v>382</v>
      </c>
      <c r="C137" s="115"/>
      <c r="D137" s="115"/>
      <c r="E137" s="115"/>
      <c r="F137" s="185" t="n">
        <f aca="false">F136-E137</f>
        <v>33000</v>
      </c>
      <c r="G137" s="72"/>
    </row>
    <row r="138" customFormat="false" ht="12.75" hidden="false" customHeight="false" outlineLevel="0" collapsed="false">
      <c r="G138" s="72"/>
    </row>
    <row r="139" customFormat="false" ht="12.75" hidden="false" customHeight="false" outlineLevel="0" collapsed="false">
      <c r="B139" s="2" t="s">
        <v>383</v>
      </c>
      <c r="F139" s="72"/>
      <c r="G139" s="72"/>
    </row>
    <row r="140" customFormat="false" ht="12.75" hidden="false" customHeight="false" outlineLevel="0" collapsed="false">
      <c r="B140" s="4" t="s">
        <v>330</v>
      </c>
      <c r="E140" s="4" t="n">
        <v>1252.54</v>
      </c>
      <c r="G140" s="72"/>
    </row>
    <row r="141" customFormat="false" ht="12.75" hidden="false" customHeight="false" outlineLevel="0" collapsed="false">
      <c r="B141" s="4" t="s">
        <v>384</v>
      </c>
      <c r="E141" s="4" t="n">
        <v>375</v>
      </c>
      <c r="G141" s="72"/>
    </row>
    <row r="142" customFormat="false" ht="12.75" hidden="false" customHeight="false" outlineLevel="0" collapsed="false">
      <c r="B142" s="4" t="s">
        <v>385</v>
      </c>
      <c r="E142" s="4" t="n">
        <v>1500</v>
      </c>
      <c r="G142" s="72"/>
    </row>
    <row r="143" customFormat="false" ht="12.75" hidden="false" customHeight="false" outlineLevel="0" collapsed="false">
      <c r="A143" s="143" t="n">
        <v>45015</v>
      </c>
      <c r="B143" s="4" t="s">
        <v>386</v>
      </c>
      <c r="E143" s="4" t="n">
        <v>1447</v>
      </c>
      <c r="G143" s="72"/>
    </row>
    <row r="144" customFormat="false" ht="12.75" hidden="false" customHeight="false" outlineLevel="0" collapsed="false">
      <c r="B144" s="4" t="s">
        <v>387</v>
      </c>
      <c r="C144" s="2"/>
      <c r="D144" s="2"/>
      <c r="F144" s="72" t="n">
        <v>4574.54</v>
      </c>
      <c r="G144" s="72"/>
    </row>
    <row r="145" customFormat="false" ht="12.75" hidden="false" customHeight="false" outlineLevel="0" collapsed="false">
      <c r="G145" s="72"/>
    </row>
    <row r="146" customFormat="false" ht="19.7" hidden="false" customHeight="false" outlineLevel="0" collapsed="false">
      <c r="A146" s="186" t="n">
        <v>2021</v>
      </c>
    </row>
    <row r="147" customFormat="false" ht="12.75" hidden="false" customHeight="false" outlineLevel="0" collapsed="false">
      <c r="B147" s="2"/>
      <c r="C147" s="2"/>
      <c r="D147" s="2"/>
      <c r="E147" s="4" t="s">
        <v>217</v>
      </c>
      <c r="F147" s="4" t="s">
        <v>218</v>
      </c>
    </row>
    <row r="148" customFormat="false" ht="12.75" hidden="false" customHeight="false" outlineLevel="0" collapsed="false">
      <c r="B148" s="4" t="s">
        <v>388</v>
      </c>
      <c r="E148" s="4" t="n">
        <v>36000</v>
      </c>
    </row>
    <row r="149" customFormat="false" ht="12.75" hidden="false" customHeight="false" outlineLevel="0" collapsed="false">
      <c r="B149" s="4" t="s">
        <v>389</v>
      </c>
      <c r="F149" s="72" t="n">
        <v>28000</v>
      </c>
    </row>
    <row r="150" customFormat="false" ht="12.75" hidden="false" customHeight="false" outlineLevel="0" collapsed="false">
      <c r="A150" s="149"/>
      <c r="B150" s="4" t="s">
        <v>390</v>
      </c>
      <c r="F150" s="72" t="n">
        <v>4000</v>
      </c>
    </row>
    <row r="151" customFormat="false" ht="12.75" hidden="false" customHeight="false" outlineLevel="0" collapsed="false">
      <c r="A151" s="149"/>
      <c r="B151" s="4" t="s">
        <v>391</v>
      </c>
      <c r="F151" s="72" t="n">
        <v>4000</v>
      </c>
    </row>
  </sheetData>
  <printOptions headings="false" gridLines="false" gridLinesSet="true" horizontalCentered="false" verticalCentered="false"/>
  <pageMargins left="0.39375" right="0.236111111111111" top="0.709027777777778" bottom="0.70625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18E"/>
    <pageSetUpPr fitToPage="false"/>
  </sheetPr>
  <dimension ref="B4:J90"/>
  <sheetViews>
    <sheetView showFormulas="false" showGridLines="true" showRowColHeaders="true" showZeros="true" rightToLeft="false" tabSelected="false" showOutlineSymbols="true" defaultGridColor="true" view="normal" topLeftCell="A55" colorId="64" zoomScale="140" zoomScaleNormal="140" zoomScalePageLayoutView="100" workbookViewId="0">
      <selection pane="topLeft" activeCell="F46" activeCellId="1" sqref="F84:F86 F46"/>
    </sheetView>
  </sheetViews>
  <sheetFormatPr defaultColWidth="8.66015625" defaultRowHeight="12.7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.43"/>
    <col collapsed="false" customWidth="true" hidden="false" outlineLevel="0" max="3" min="3" style="0" width="31.43"/>
    <col collapsed="false" customWidth="true" hidden="false" outlineLevel="0" max="4" min="4" style="0" width="5.14"/>
    <col collapsed="false" customWidth="true" hidden="false" outlineLevel="0" max="7" min="5" style="0" width="9.43"/>
    <col collapsed="false" customWidth="true" hidden="false" outlineLevel="0" max="8" min="8" style="0" width="10.57"/>
    <col collapsed="false" customWidth="true" hidden="false" outlineLevel="0" max="10" min="10" style="0" width="10.57"/>
    <col collapsed="false" customWidth="true" hidden="false" outlineLevel="0" max="11" min="11" style="0" width="23.71"/>
    <col collapsed="false" customWidth="true" hidden="false" outlineLevel="0" max="12" min="12" style="0" width="5.29"/>
    <col collapsed="false" customWidth="true" hidden="false" outlineLevel="0" max="14" min="13" style="0" width="9.57"/>
    <col collapsed="false" customWidth="true" hidden="false" outlineLevel="0" max="15" min="15" style="0" width="10.57"/>
  </cols>
  <sheetData>
    <row r="4" customFormat="false" ht="12.75" hidden="false" customHeight="false" outlineLevel="0" collapsed="false">
      <c r="C4" s="0" t="s">
        <v>335</v>
      </c>
    </row>
    <row r="6" customFormat="false" ht="12.75" hidden="false" customHeight="false" outlineLevel="0" collapsed="false">
      <c r="C6" s="0" t="s">
        <v>336</v>
      </c>
      <c r="E6" s="4" t="n">
        <v>48000</v>
      </c>
      <c r="F6" s="4"/>
      <c r="G6" s="4"/>
      <c r="H6" s="4" t="n">
        <f aca="false">I4+E6-G6</f>
        <v>48000</v>
      </c>
    </row>
    <row r="7" customFormat="false" ht="12.75" hidden="false" customHeight="false" outlineLevel="0" collapsed="false">
      <c r="B7" s="77" t="n">
        <v>44651</v>
      </c>
      <c r="C7" s="0" t="s">
        <v>337</v>
      </c>
      <c r="E7" s="4"/>
      <c r="F7" s="4"/>
      <c r="G7" s="0" t="n">
        <v>28000</v>
      </c>
      <c r="H7" s="4" t="n">
        <f aca="false">H6+E7-G7</f>
        <v>20000</v>
      </c>
    </row>
    <row r="8" customFormat="false" ht="12.75" hidden="false" customHeight="false" outlineLevel="0" collapsed="false">
      <c r="B8" s="77" t="n">
        <v>44681</v>
      </c>
      <c r="C8" s="0" t="s">
        <v>338</v>
      </c>
      <c r="E8" s="4"/>
      <c r="F8" s="4"/>
      <c r="G8" s="0" t="n">
        <v>4000</v>
      </c>
      <c r="H8" s="4" t="n">
        <f aca="false">H7+E8-G8</f>
        <v>16000</v>
      </c>
    </row>
    <row r="9" customFormat="false" ht="12.75" hidden="false" customHeight="false" outlineLevel="0" collapsed="false">
      <c r="B9" s="77" t="n">
        <v>44711</v>
      </c>
      <c r="C9" s="0" t="s">
        <v>339</v>
      </c>
      <c r="E9" s="4"/>
      <c r="F9" s="4"/>
      <c r="G9" s="0" t="n">
        <v>4000</v>
      </c>
      <c r="H9" s="4" t="n">
        <f aca="false">H8+E9-G9</f>
        <v>12000</v>
      </c>
    </row>
    <row r="10" customFormat="false" ht="12.75" hidden="false" customHeight="false" outlineLevel="0" collapsed="false">
      <c r="B10" s="77" t="n">
        <v>44742</v>
      </c>
      <c r="C10" s="0" t="s">
        <v>340</v>
      </c>
      <c r="E10" s="4"/>
      <c r="F10" s="4"/>
      <c r="H10" s="4" t="n">
        <f aca="false">H9+E10-G10</f>
        <v>12000</v>
      </c>
    </row>
    <row r="11" customFormat="false" ht="12.75" hidden="false" customHeight="false" outlineLevel="0" collapsed="false">
      <c r="B11" s="77" t="n">
        <v>44772</v>
      </c>
      <c r="C11" s="0" t="s">
        <v>341</v>
      </c>
      <c r="E11" s="4"/>
      <c r="F11" s="4"/>
      <c r="H11" s="4" t="n">
        <f aca="false">H10+E11-G11</f>
        <v>12000</v>
      </c>
    </row>
    <row r="12" customFormat="false" ht="12.75" hidden="false" customHeight="false" outlineLevel="0" collapsed="false">
      <c r="B12" s="77" t="n">
        <v>44803</v>
      </c>
      <c r="C12" s="0" t="s">
        <v>342</v>
      </c>
      <c r="E12" s="4"/>
      <c r="F12" s="4"/>
      <c r="H12" s="4" t="n">
        <f aca="false">H11+E12-G12</f>
        <v>12000</v>
      </c>
    </row>
    <row r="13" customFormat="false" ht="12.75" hidden="false" customHeight="false" outlineLevel="0" collapsed="false">
      <c r="J13" s="4"/>
    </row>
    <row r="14" customFormat="false" ht="12.75" hidden="false" customHeight="false" outlineLevel="0" collapsed="false">
      <c r="B14" s="0" t="s">
        <v>343</v>
      </c>
      <c r="J14" s="4"/>
    </row>
    <row r="15" customFormat="false" ht="12.75" hidden="false" customHeight="false" outlineLevel="0" collapsed="false">
      <c r="B15" s="0" t="s">
        <v>344</v>
      </c>
      <c r="E15" s="187" t="s">
        <v>392</v>
      </c>
      <c r="J15" s="4"/>
    </row>
    <row r="16" customFormat="false" ht="12.75" hidden="false" customHeight="false" outlineLevel="0" collapsed="false">
      <c r="D16" s="187" t="s">
        <v>393</v>
      </c>
      <c r="E16" s="187" t="s">
        <v>394</v>
      </c>
      <c r="F16" s="188" t="s">
        <v>395</v>
      </c>
      <c r="G16" s="187" t="s">
        <v>218</v>
      </c>
      <c r="H16" s="187" t="s">
        <v>396</v>
      </c>
      <c r="J16" s="4"/>
    </row>
    <row r="17" customFormat="false" ht="12.75" hidden="false" customHeight="false" outlineLevel="0" collapsed="false">
      <c r="B17" s="77" t="n">
        <v>44957</v>
      </c>
      <c r="C17" s="150" t="s">
        <v>42</v>
      </c>
      <c r="D17" s="0" t="n">
        <v>6.65</v>
      </c>
      <c r="E17" s="75" t="n">
        <v>6920</v>
      </c>
      <c r="F17" s="75"/>
      <c r="G17" s="33" t="n">
        <v>6920</v>
      </c>
      <c r="H17" s="4" t="n">
        <f aca="false">E17-G17</f>
        <v>0</v>
      </c>
    </row>
    <row r="18" customFormat="false" ht="12.75" hidden="false" customHeight="false" outlineLevel="0" collapsed="false">
      <c r="C18" s="150" t="s">
        <v>44</v>
      </c>
      <c r="D18" s="0" t="n">
        <v>3.15</v>
      </c>
      <c r="E18" s="75" t="n">
        <f aca="false">E17+(E17*D17/100)</f>
        <v>7380.18</v>
      </c>
      <c r="F18" s="75" t="n">
        <f aca="false">E18</f>
        <v>7380.18</v>
      </c>
      <c r="G18" s="33"/>
      <c r="H18" s="4" t="n">
        <f aca="false">F18-G18+H17</f>
        <v>7380.18</v>
      </c>
    </row>
    <row r="19" customFormat="false" ht="12.75" hidden="false" customHeight="false" outlineLevel="0" collapsed="false">
      <c r="C19" s="150" t="s">
        <v>46</v>
      </c>
      <c r="D19" s="0" t="n">
        <v>2.29</v>
      </c>
      <c r="E19" s="75" t="n">
        <f aca="false">E18+(E18*D18/100)</f>
        <v>7612.65567</v>
      </c>
      <c r="F19" s="75" t="n">
        <f aca="false">E19</f>
        <v>7612.65567</v>
      </c>
      <c r="G19" s="33"/>
      <c r="H19" s="4" t="n">
        <f aca="false">F19-G19+H18</f>
        <v>14992.83567</v>
      </c>
    </row>
    <row r="20" customFormat="false" ht="12.75" hidden="false" customHeight="false" outlineLevel="0" collapsed="false">
      <c r="C20" s="150" t="s">
        <v>324</v>
      </c>
      <c r="D20" s="0" t="n">
        <v>2.39</v>
      </c>
      <c r="E20" s="75" t="n">
        <f aca="false">E19+(E19*D19/100)</f>
        <v>7786.985484843</v>
      </c>
      <c r="F20" s="75" t="n">
        <f aca="false">E20</f>
        <v>7786.985484843</v>
      </c>
      <c r="G20" s="33" t="n">
        <v>8425.46</v>
      </c>
      <c r="H20" s="4" t="n">
        <f aca="false">F20-G20+H19</f>
        <v>14354.361154843</v>
      </c>
    </row>
    <row r="21" customFormat="false" ht="12.75" hidden="false" customHeight="false" outlineLevel="0" collapsed="false">
      <c r="C21" s="150" t="s">
        <v>325</v>
      </c>
      <c r="D21" s="0" t="n">
        <v>0.04</v>
      </c>
      <c r="E21" s="75" t="n">
        <f aca="false">E20+(E20*D20/100)</f>
        <v>7973.09443793075</v>
      </c>
      <c r="F21" s="75" t="n">
        <f aca="false">E21</f>
        <v>7973.09443793075</v>
      </c>
      <c r="G21" s="33" t="n">
        <v>28080</v>
      </c>
      <c r="H21" s="4" t="n">
        <f aca="false">F21-G21+H20</f>
        <v>-5752.54440722625</v>
      </c>
    </row>
    <row r="22" customFormat="false" ht="12.75" hidden="false" customHeight="false" outlineLevel="0" collapsed="false">
      <c r="C22" s="150" t="s">
        <v>50</v>
      </c>
      <c r="D22" s="0" t="n">
        <v>3.92</v>
      </c>
      <c r="E22" s="75" t="n">
        <f aca="false">E21+(E21*D21/100)</f>
        <v>7976.28367570592</v>
      </c>
      <c r="F22" s="75" t="n">
        <f aca="false">E22</f>
        <v>7976.28367570592</v>
      </c>
      <c r="G22" s="37"/>
      <c r="H22" s="4" t="n">
        <f aca="false">F22-G22+H21</f>
        <v>2223.73926847967</v>
      </c>
    </row>
    <row r="23" customFormat="false" ht="12.75" hidden="false" customHeight="false" outlineLevel="0" collapsed="false">
      <c r="C23" s="150" t="s">
        <v>51</v>
      </c>
      <c r="D23" s="0" t="n">
        <v>9.49</v>
      </c>
      <c r="E23" s="189" t="n">
        <f aca="false">E22+(E22*D22/100)</f>
        <v>8288.95399579359</v>
      </c>
      <c r="F23" s="20" t="n">
        <f aca="false">E23</f>
        <v>8288.95399579359</v>
      </c>
      <c r="G23" s="190" t="n">
        <v>50000</v>
      </c>
      <c r="H23" s="4" t="n">
        <f aca="false">F23-G23+H22</f>
        <v>-39487.3067357267</v>
      </c>
    </row>
    <row r="24" customFormat="false" ht="12.75" hidden="false" customHeight="false" outlineLevel="0" collapsed="false">
      <c r="C24" s="150" t="s">
        <v>52</v>
      </c>
      <c r="D24" s="0" t="n">
        <v>9.09</v>
      </c>
      <c r="E24" s="75" t="n">
        <f aca="false">E23+(E23*D23/100)</f>
        <v>9075.5757299944</v>
      </c>
      <c r="F24" s="20" t="n">
        <f aca="false">E23</f>
        <v>8288.95399579359</v>
      </c>
      <c r="G24" s="37"/>
      <c r="H24" s="4" t="n">
        <f aca="false">F24-G24+H23</f>
        <v>-31198.3527399331</v>
      </c>
    </row>
    <row r="25" customFormat="false" ht="12.75" hidden="false" customHeight="false" outlineLevel="0" collapsed="false">
      <c r="C25" s="150" t="s">
        <v>326</v>
      </c>
      <c r="D25" s="0" t="n">
        <v>4.75</v>
      </c>
      <c r="E25" s="75" t="n">
        <f aca="false">E24+(E24*D24/100)</f>
        <v>9900.54556385089</v>
      </c>
      <c r="F25" s="20" t="n">
        <f aca="false">E23</f>
        <v>8288.95399579359</v>
      </c>
      <c r="G25" s="191"/>
      <c r="H25" s="4" t="n">
        <f aca="false">F25-G25+H24</f>
        <v>-22909.3987441396</v>
      </c>
    </row>
    <row r="26" customFormat="false" ht="12.75" hidden="false" customHeight="false" outlineLevel="0" collapsed="false">
      <c r="C26" s="150" t="s">
        <v>54</v>
      </c>
      <c r="D26" s="0" t="n">
        <v>3.43</v>
      </c>
      <c r="E26" s="75" t="n">
        <f aca="false">E25+(E25*D25/100)</f>
        <v>10370.8214781338</v>
      </c>
      <c r="F26" s="20" t="n">
        <f aca="false">E23</f>
        <v>8288.95399579359</v>
      </c>
      <c r="G26" s="37"/>
      <c r="H26" s="4" t="n">
        <f aca="false">F26-G26+H25</f>
        <v>-14620.444748346</v>
      </c>
    </row>
    <row r="27" customFormat="false" ht="12.75" hidden="false" customHeight="false" outlineLevel="0" collapsed="false">
      <c r="C27" s="150" t="s">
        <v>55</v>
      </c>
      <c r="D27" s="0" t="n">
        <v>3.28</v>
      </c>
      <c r="E27" s="75" t="n">
        <f aca="false">E26+(E26*D26/100)</f>
        <v>10726.5406548338</v>
      </c>
      <c r="F27" s="20" t="n">
        <f aca="false">E23</f>
        <v>8288.95399579359</v>
      </c>
      <c r="G27" s="37" t="n">
        <v>15887.06</v>
      </c>
      <c r="H27" s="4" t="n">
        <f aca="false">F27-G27+H26</f>
        <v>-22218.5507525524</v>
      </c>
    </row>
    <row r="28" customFormat="false" ht="12.75" hidden="false" customHeight="false" outlineLevel="0" collapsed="false">
      <c r="B28" s="192" t="n">
        <v>45291</v>
      </c>
      <c r="C28" s="150" t="s">
        <v>56</v>
      </c>
      <c r="D28" s="0" t="n">
        <v>2.93</v>
      </c>
      <c r="E28" s="75" t="n">
        <f aca="false">E27+(E27*D27/100)</f>
        <v>11078.3711883124</v>
      </c>
      <c r="F28" s="20" t="n">
        <f aca="false">E23</f>
        <v>8288.95399579359</v>
      </c>
      <c r="G28" s="37"/>
      <c r="H28" s="4" t="n">
        <f aca="false">F28-G28+H27</f>
        <v>-13929.5967567588</v>
      </c>
    </row>
    <row r="29" customFormat="false" ht="12.75" hidden="false" customHeight="false" outlineLevel="0" collapsed="false">
      <c r="B29" s="192" t="n">
        <v>45322</v>
      </c>
      <c r="C29" s="156" t="s">
        <v>397</v>
      </c>
      <c r="D29" s="0" t="n">
        <v>6.71</v>
      </c>
      <c r="E29" s="75" t="n">
        <v>14000</v>
      </c>
      <c r="F29" s="20" t="n">
        <f aca="false">E23</f>
        <v>8288.95399579359</v>
      </c>
      <c r="G29" s="37"/>
      <c r="H29" s="4" t="n">
        <f aca="false">F29-G29+H28</f>
        <v>-5640.64276096518</v>
      </c>
    </row>
    <row r="30" customFormat="false" ht="12.75" hidden="false" customHeight="false" outlineLevel="0" collapsed="false">
      <c r="C30" s="156" t="s">
        <v>44</v>
      </c>
      <c r="D30" s="0" t="n">
        <v>4.53</v>
      </c>
      <c r="E30" s="75" t="n">
        <f aca="false">E29+(E29*D29/100)</f>
        <v>14939.4</v>
      </c>
      <c r="F30" s="75" t="n">
        <f aca="false">E30</f>
        <v>14939.4</v>
      </c>
      <c r="G30" s="37"/>
      <c r="H30" s="4" t="n">
        <f aca="false">F30-G30+H29</f>
        <v>9298.75723903482</v>
      </c>
    </row>
    <row r="31" customFormat="false" ht="12.75" hidden="false" customHeight="false" outlineLevel="0" collapsed="false">
      <c r="C31" s="156" t="s">
        <v>46</v>
      </c>
      <c r="D31" s="0" t="n">
        <v>3.16</v>
      </c>
      <c r="E31" s="75" t="n">
        <f aca="false">E30+(E30*D30/100)</f>
        <v>15616.15482</v>
      </c>
      <c r="F31" s="75" t="n">
        <f aca="false">E31</f>
        <v>15616.15482</v>
      </c>
      <c r="G31" s="37"/>
      <c r="H31" s="4" t="n">
        <f aca="false">F31-G31+H30</f>
        <v>24914.9120590348</v>
      </c>
    </row>
    <row r="32" customFormat="false" ht="12.75" hidden="false" customHeight="false" outlineLevel="0" collapsed="false">
      <c r="C32" s="157" t="s">
        <v>328</v>
      </c>
      <c r="E32" s="75" t="n">
        <v>3795</v>
      </c>
      <c r="F32" s="75" t="n">
        <f aca="false">E32</f>
        <v>3795</v>
      </c>
      <c r="G32" s="37"/>
      <c r="H32" s="4" t="n">
        <f aca="false">F32-G32+H31</f>
        <v>28709.9120590348</v>
      </c>
    </row>
    <row r="33" customFormat="false" ht="12.75" hidden="false" customHeight="false" outlineLevel="0" collapsed="false">
      <c r="C33" s="157" t="s">
        <v>330</v>
      </c>
      <c r="E33" s="75" t="n">
        <v>5600</v>
      </c>
      <c r="F33" s="75" t="n">
        <f aca="false">E33</f>
        <v>5600</v>
      </c>
      <c r="G33" s="37"/>
      <c r="H33" s="4" t="n">
        <f aca="false">F33-G33+H32</f>
        <v>34309.9120590348</v>
      </c>
    </row>
    <row r="34" customFormat="false" ht="12.75" hidden="false" customHeight="false" outlineLevel="0" collapsed="false">
      <c r="C34" s="158" t="s">
        <v>398</v>
      </c>
      <c r="E34" s="75" t="n">
        <v>278.97</v>
      </c>
      <c r="F34" s="75" t="n">
        <f aca="false">E34</f>
        <v>278.97</v>
      </c>
      <c r="G34" s="37"/>
      <c r="H34" s="4" t="n">
        <f aca="false">F34-G34+H33</f>
        <v>34588.8820590348</v>
      </c>
    </row>
    <row r="35" customFormat="false" ht="12.75" hidden="false" customHeight="false" outlineLevel="0" collapsed="false">
      <c r="C35" s="158" t="s">
        <v>399</v>
      </c>
      <c r="E35" s="75" t="n">
        <v>10000</v>
      </c>
      <c r="F35" s="75" t="n">
        <f aca="false">E35</f>
        <v>10000</v>
      </c>
      <c r="G35" s="37"/>
      <c r="H35" s="4" t="n">
        <f aca="false">F35-G35+H34</f>
        <v>44588.8820590348</v>
      </c>
    </row>
    <row r="36" customFormat="false" ht="12.75" hidden="false" customHeight="false" outlineLevel="0" collapsed="false">
      <c r="C36" s="156" t="s">
        <v>329</v>
      </c>
      <c r="D36" s="0" t="n">
        <v>3.18</v>
      </c>
      <c r="E36" s="189" t="n">
        <f aca="false">E31+(E31*D31/100)</f>
        <v>16109.625312312</v>
      </c>
      <c r="F36" s="20" t="n">
        <f aca="false">E36</f>
        <v>16109.625312312</v>
      </c>
      <c r="G36" s="190" t="n">
        <v>85000</v>
      </c>
      <c r="H36" s="4" t="n">
        <f aca="false">F36-G36+H35</f>
        <v>-24301.4926286532</v>
      </c>
    </row>
    <row r="37" customFormat="false" ht="12.75" hidden="false" customHeight="false" outlineLevel="0" collapsed="false">
      <c r="C37" s="193" t="s">
        <v>331</v>
      </c>
      <c r="D37" s="0" t="n">
        <v>3.37</v>
      </c>
      <c r="E37" s="75" t="n">
        <f aca="false">E36+(E36*D36/100)</f>
        <v>16621.9113972435</v>
      </c>
      <c r="F37" s="20" t="n">
        <f aca="false">E36</f>
        <v>16109.625312312</v>
      </c>
      <c r="G37" s="37"/>
      <c r="H37" s="4" t="n">
        <f aca="false">F37-G37+H36</f>
        <v>-8191.86731634118</v>
      </c>
    </row>
    <row r="38" customFormat="false" ht="12.75" hidden="false" customHeight="false" outlineLevel="0" collapsed="false">
      <c r="C38" s="193" t="s">
        <v>50</v>
      </c>
      <c r="D38" s="158" t="n">
        <v>1.64</v>
      </c>
      <c r="E38" s="194" t="n">
        <f aca="false">E37+(E37*D37/100)</f>
        <v>17182.0698113306</v>
      </c>
      <c r="F38" s="195" t="n">
        <f aca="false">E37</f>
        <v>16621.9113972435</v>
      </c>
      <c r="G38" s="158"/>
      <c r="H38" s="4" t="n">
        <f aca="false">F38-G38+H37</f>
        <v>8430.04408090234</v>
      </c>
    </row>
    <row r="39" customFormat="false" ht="12.75" hidden="false" customHeight="false" outlineLevel="0" collapsed="false">
      <c r="C39" s="193" t="s">
        <v>51</v>
      </c>
      <c r="D39" s="158" t="n">
        <v>3.23</v>
      </c>
      <c r="E39" s="194" t="n">
        <f aca="false">E38+(E38*D38/100)</f>
        <v>17463.8557562365</v>
      </c>
      <c r="F39" s="194" t="n">
        <f aca="false">E39</f>
        <v>17463.8557562365</v>
      </c>
      <c r="G39" s="158"/>
      <c r="H39" s="4" t="n">
        <f aca="false">F39-G39+H38</f>
        <v>25893.8998371388</v>
      </c>
    </row>
    <row r="40" customFormat="false" ht="12.75" hidden="false" customHeight="false" outlineLevel="0" collapsed="false">
      <c r="C40" s="193" t="s">
        <v>52</v>
      </c>
      <c r="D40" s="158" t="n">
        <v>2.47</v>
      </c>
      <c r="E40" s="194" t="n">
        <f aca="false">E39+(E39*D39/100)</f>
        <v>18027.9382971629</v>
      </c>
      <c r="F40" s="194" t="n">
        <f aca="false">E40</f>
        <v>18027.9382971629</v>
      </c>
      <c r="G40" s="158"/>
      <c r="H40" s="4" t="n">
        <f aca="false">F40-G40+H39</f>
        <v>43921.8381343017</v>
      </c>
    </row>
    <row r="41" customFormat="false" ht="12.75" hidden="false" customHeight="false" outlineLevel="0" collapsed="false">
      <c r="C41" s="193" t="s">
        <v>332</v>
      </c>
      <c r="D41" s="158" t="n">
        <v>2.97</v>
      </c>
      <c r="E41" s="194" t="n">
        <f aca="false">E40+(E40*D40/100)</f>
        <v>18473.2283731028</v>
      </c>
      <c r="F41" s="194" t="n">
        <f aca="false">E41</f>
        <v>18473.2283731028</v>
      </c>
      <c r="G41" s="158"/>
      <c r="H41" s="4" t="n">
        <f aca="false">F41-G41+H40</f>
        <v>62395.0665074045</v>
      </c>
    </row>
    <row r="42" customFormat="false" ht="12.75" hidden="false" customHeight="false" outlineLevel="0" collapsed="false">
      <c r="C42" s="196" t="s">
        <v>54</v>
      </c>
      <c r="D42" s="158" t="n">
        <v>2.88</v>
      </c>
      <c r="E42" s="194" t="n">
        <f aca="false">E41+(E41*D41/100)</f>
        <v>19021.883255784</v>
      </c>
      <c r="F42" s="194" t="n">
        <f aca="false">E42</f>
        <v>19021.883255784</v>
      </c>
      <c r="G42" s="197"/>
      <c r="H42" s="4" t="n">
        <f aca="false">F42-G42+H41</f>
        <v>81416.9497631885</v>
      </c>
    </row>
    <row r="43" customFormat="false" ht="12.75" hidden="false" customHeight="false" outlineLevel="0" collapsed="false">
      <c r="C43" s="158" t="s">
        <v>55</v>
      </c>
      <c r="D43" s="158" t="n">
        <v>2.24</v>
      </c>
      <c r="E43" s="75" t="n">
        <f aca="false">E42+(E42*D42/100)</f>
        <v>19569.7134935505</v>
      </c>
      <c r="F43" s="194" t="n">
        <f aca="false">E43</f>
        <v>19569.7134935505</v>
      </c>
      <c r="H43" s="4" t="n">
        <f aca="false">F43-G43+H42</f>
        <v>100986.663256739</v>
      </c>
    </row>
    <row r="44" customFormat="false" ht="12.75" hidden="false" customHeight="false" outlineLevel="0" collapsed="false">
      <c r="C44" s="158" t="s">
        <v>400</v>
      </c>
      <c r="D44" s="158"/>
      <c r="E44" s="75"/>
      <c r="F44" s="194" t="n">
        <v>8000</v>
      </c>
      <c r="H44" s="4" t="n">
        <f aca="false">F44-G44+H43</f>
        <v>108986.663256739</v>
      </c>
    </row>
    <row r="45" customFormat="false" ht="12.75" hidden="false" customHeight="false" outlineLevel="0" collapsed="false">
      <c r="C45" s="158" t="s">
        <v>401</v>
      </c>
      <c r="D45" s="158"/>
      <c r="E45" s="75"/>
      <c r="F45" s="194"/>
      <c r="G45" s="0" t="n">
        <v>148500</v>
      </c>
      <c r="H45" s="4" t="n">
        <f aca="false">F45-G45+H44</f>
        <v>-39513.336743261</v>
      </c>
    </row>
    <row r="46" customFormat="false" ht="12.75" hidden="false" customHeight="false" outlineLevel="0" collapsed="false">
      <c r="C46" s="158" t="s">
        <v>56</v>
      </c>
      <c r="D46" s="158" t="n">
        <v>1.03</v>
      </c>
      <c r="E46" s="75" t="n">
        <f aca="false">E43+(E43*D43/100)</f>
        <v>20008.0750758061</v>
      </c>
      <c r="F46" s="194" t="n">
        <f aca="false">E46</f>
        <v>20008.0750758061</v>
      </c>
      <c r="H46" s="4" t="n">
        <f aca="false">F46-G46+H45</f>
        <v>-19505.2616674549</v>
      </c>
    </row>
    <row r="47" customFormat="false" ht="12.75" hidden="false" customHeight="false" outlineLevel="0" collapsed="false">
      <c r="B47" s="0" t="n">
        <v>2025</v>
      </c>
      <c r="C47" s="156" t="s">
        <v>402</v>
      </c>
      <c r="D47" s="158" t="n">
        <v>5.03</v>
      </c>
      <c r="E47" s="75" t="n">
        <v>22104</v>
      </c>
      <c r="F47" s="194" t="n">
        <f aca="false">E47</f>
        <v>22104</v>
      </c>
      <c r="H47" s="4" t="n">
        <f aca="false">F47-G47+H46</f>
        <v>2598.73833254508</v>
      </c>
    </row>
    <row r="48" customFormat="false" ht="12.75" hidden="false" customHeight="false" outlineLevel="0" collapsed="false">
      <c r="C48" s="156"/>
      <c r="E48" s="75"/>
      <c r="F48" s="75"/>
      <c r="H48" s="4" t="n">
        <f aca="false">F48-G48+H47</f>
        <v>2598.73833254508</v>
      </c>
    </row>
    <row r="49" customFormat="false" ht="12.75" hidden="false" customHeight="false" outlineLevel="0" collapsed="false">
      <c r="B49" s="198" t="n">
        <v>45691</v>
      </c>
      <c r="C49" s="67" t="s">
        <v>403</v>
      </c>
      <c r="D49" s="67"/>
      <c r="E49" s="199"/>
      <c r="F49" s="199"/>
      <c r="G49" s="67"/>
      <c r="H49" s="70" t="n">
        <f aca="false">F49-G49+H48</f>
        <v>2598.73833254508</v>
      </c>
      <c r="I49" s="67"/>
    </row>
    <row r="50" customFormat="false" ht="12.75" hidden="false" customHeight="false" outlineLevel="0" collapsed="false">
      <c r="C50" s="156"/>
      <c r="E50" s="75"/>
      <c r="F50" s="194"/>
      <c r="H50" s="4" t="n">
        <f aca="false">F50-G50+H49</f>
        <v>2598.73833254508</v>
      </c>
    </row>
    <row r="51" customFormat="false" ht="12.75" hidden="false" customHeight="false" outlineLevel="0" collapsed="false">
      <c r="C51" s="158"/>
      <c r="E51" s="75"/>
      <c r="F51" s="75"/>
      <c r="H51" s="38"/>
    </row>
    <row r="52" customFormat="false" ht="12.75" hidden="false" customHeight="false" outlineLevel="0" collapsed="false">
      <c r="C52" s="158"/>
      <c r="E52" s="75"/>
      <c r="F52" s="75"/>
      <c r="H52" s="38"/>
    </row>
    <row r="53" customFormat="false" ht="12.75" hidden="false" customHeight="false" outlineLevel="0" collapsed="false">
      <c r="C53" s="158"/>
      <c r="E53" s="75"/>
      <c r="F53" s="75"/>
      <c r="H53" s="38"/>
    </row>
    <row r="58" customFormat="false" ht="12.75" hidden="false" customHeight="false" outlineLevel="0" collapsed="false">
      <c r="B58" s="125" t="n">
        <v>45421</v>
      </c>
      <c r="C58" s="0" t="s">
        <v>404</v>
      </c>
    </row>
    <row r="59" customFormat="false" ht="12.75" hidden="false" customHeight="false" outlineLevel="0" collapsed="false">
      <c r="B59" s="125"/>
      <c r="C59" s="0" t="s">
        <v>405</v>
      </c>
    </row>
    <row r="60" customFormat="false" ht="12.75" hidden="false" customHeight="false" outlineLevel="0" collapsed="false">
      <c r="B60" s="125"/>
      <c r="C60" s="0" t="s">
        <v>406</v>
      </c>
    </row>
    <row r="61" customFormat="false" ht="12.75" hidden="false" customHeight="false" outlineLevel="0" collapsed="false">
      <c r="B61" s="125"/>
      <c r="C61" s="0" t="s">
        <v>407</v>
      </c>
    </row>
    <row r="62" customFormat="false" ht="12.75" hidden="false" customHeight="false" outlineLevel="0" collapsed="false">
      <c r="B62" s="125"/>
    </row>
    <row r="63" customFormat="false" ht="12.75" hidden="false" customHeight="false" outlineLevel="0" collapsed="false">
      <c r="B63" s="125"/>
    </row>
    <row r="65" customFormat="false" ht="12.75" hidden="false" customHeight="false" outlineLevel="0" collapsed="false">
      <c r="B65" s="77" t="n">
        <v>44957</v>
      </c>
      <c r="C65" s="150" t="s">
        <v>42</v>
      </c>
      <c r="D65" s="0" t="n">
        <v>6.65</v>
      </c>
      <c r="E65" s="75" t="n">
        <v>6920</v>
      </c>
      <c r="F65" s="75"/>
      <c r="G65" s="33" t="n">
        <v>6920</v>
      </c>
      <c r="H65" s="4" t="n">
        <f aca="false">E65-G65</f>
        <v>0</v>
      </c>
    </row>
    <row r="66" customFormat="false" ht="12.75" hidden="false" customHeight="false" outlineLevel="0" collapsed="false">
      <c r="C66" s="150" t="s">
        <v>44</v>
      </c>
      <c r="D66" s="0" t="n">
        <v>3.15</v>
      </c>
      <c r="E66" s="75" t="n">
        <f aca="false">E65+(E65*D65/100)</f>
        <v>7380.18</v>
      </c>
      <c r="F66" s="75"/>
      <c r="G66" s="33"/>
      <c r="H66" s="4" t="n">
        <f aca="false">E66-G66+H65</f>
        <v>7380.18</v>
      </c>
    </row>
    <row r="67" customFormat="false" ht="12.75" hidden="false" customHeight="false" outlineLevel="0" collapsed="false">
      <c r="C67" s="150" t="s">
        <v>46</v>
      </c>
      <c r="D67" s="0" t="n">
        <v>2.29</v>
      </c>
      <c r="E67" s="75" t="n">
        <f aca="false">E66+(E66*D66/100)</f>
        <v>7612.65567</v>
      </c>
      <c r="F67" s="75"/>
      <c r="G67" s="33"/>
      <c r="H67" s="4" t="n">
        <f aca="false">E67-G67+H66</f>
        <v>14992.83567</v>
      </c>
    </row>
    <row r="68" customFormat="false" ht="12.75" hidden="false" customHeight="false" outlineLevel="0" collapsed="false">
      <c r="C68" s="150" t="s">
        <v>324</v>
      </c>
      <c r="D68" s="0" t="n">
        <v>2.39</v>
      </c>
      <c r="E68" s="75" t="n">
        <f aca="false">E67+(E67*D67/100)</f>
        <v>7786.985484843</v>
      </c>
      <c r="F68" s="75"/>
      <c r="G68" s="33" t="n">
        <v>8425.46</v>
      </c>
      <c r="H68" s="4" t="n">
        <f aca="false">E68-G68+H67</f>
        <v>14354.361154843</v>
      </c>
    </row>
    <row r="69" customFormat="false" ht="12.75" hidden="false" customHeight="false" outlineLevel="0" collapsed="false">
      <c r="C69" s="150" t="s">
        <v>325</v>
      </c>
      <c r="D69" s="0" t="n">
        <v>0.04</v>
      </c>
      <c r="E69" s="75" t="n">
        <f aca="false">E68+(E68*D68/100)</f>
        <v>7973.09443793075</v>
      </c>
      <c r="F69" s="75"/>
      <c r="G69" s="33" t="n">
        <v>28080</v>
      </c>
      <c r="H69" s="4" t="n">
        <f aca="false">E69-G69+H68</f>
        <v>-5752.54440722625</v>
      </c>
    </row>
    <row r="70" customFormat="false" ht="12.75" hidden="false" customHeight="false" outlineLevel="0" collapsed="false">
      <c r="C70" s="150" t="s">
        <v>50</v>
      </c>
      <c r="D70" s="0" t="n">
        <v>3.92</v>
      </c>
      <c r="E70" s="75" t="n">
        <f aca="false">E69+(E69*D69/100)</f>
        <v>7976.28367570592</v>
      </c>
      <c r="F70" s="75"/>
      <c r="G70" s="37"/>
      <c r="H70" s="4" t="n">
        <f aca="false">E70-G70+H69</f>
        <v>2223.73926847967</v>
      </c>
    </row>
    <row r="71" customFormat="false" ht="12.75" hidden="false" customHeight="false" outlineLevel="0" collapsed="false">
      <c r="C71" s="150" t="s">
        <v>51</v>
      </c>
      <c r="D71" s="0" t="n">
        <v>9.49</v>
      </c>
      <c r="E71" s="75" t="n">
        <f aca="false">E70+(E70*D70/100)</f>
        <v>8288.95399579359</v>
      </c>
      <c r="F71" s="75"/>
      <c r="G71" s="37" t="n">
        <v>50000</v>
      </c>
      <c r="H71" s="4" t="n">
        <f aca="false">E71-G71+H70</f>
        <v>-39487.3067357267</v>
      </c>
    </row>
    <row r="72" customFormat="false" ht="12.75" hidden="false" customHeight="false" outlineLevel="0" collapsed="false">
      <c r="C72" s="150" t="s">
        <v>52</v>
      </c>
      <c r="D72" s="0" t="n">
        <v>9.09</v>
      </c>
      <c r="E72" s="75" t="n">
        <f aca="false">E71</f>
        <v>8288.95399579359</v>
      </c>
      <c r="F72" s="75"/>
      <c r="G72" s="37"/>
      <c r="H72" s="4" t="n">
        <f aca="false">E72-G72+H71</f>
        <v>-31198.3527399331</v>
      </c>
    </row>
    <row r="73" customFormat="false" ht="12.75" hidden="false" customHeight="false" outlineLevel="0" collapsed="false">
      <c r="C73" s="150" t="s">
        <v>326</v>
      </c>
      <c r="D73" s="0" t="n">
        <v>4.75</v>
      </c>
      <c r="E73" s="75" t="n">
        <f aca="false">E72</f>
        <v>8288.95399579359</v>
      </c>
      <c r="F73" s="75"/>
      <c r="G73" s="37"/>
      <c r="H73" s="4" t="n">
        <f aca="false">E73-G73+H72</f>
        <v>-22909.3987441396</v>
      </c>
    </row>
    <row r="74" customFormat="false" ht="12.75" hidden="false" customHeight="false" outlineLevel="0" collapsed="false">
      <c r="C74" s="150" t="s">
        <v>54</v>
      </c>
      <c r="D74" s="0" t="n">
        <v>3.43</v>
      </c>
      <c r="E74" s="75" t="n">
        <f aca="false">E73</f>
        <v>8288.95399579359</v>
      </c>
      <c r="F74" s="75"/>
      <c r="G74" s="37"/>
      <c r="H74" s="4" t="n">
        <f aca="false">E74-G74+H73</f>
        <v>-14620.444748346</v>
      </c>
    </row>
    <row r="75" customFormat="false" ht="12.75" hidden="false" customHeight="false" outlineLevel="0" collapsed="false">
      <c r="C75" s="150" t="s">
        <v>55</v>
      </c>
      <c r="D75" s="0" t="n">
        <v>3.28</v>
      </c>
      <c r="E75" s="75" t="n">
        <f aca="false">E74</f>
        <v>8288.95399579359</v>
      </c>
      <c r="F75" s="75"/>
      <c r="G75" s="37" t="n">
        <v>15887.06</v>
      </c>
      <c r="H75" s="4" t="n">
        <f aca="false">E75-G75+H74</f>
        <v>-22218.5507525524</v>
      </c>
    </row>
    <row r="76" customFormat="false" ht="12.75" hidden="false" customHeight="false" outlineLevel="0" collapsed="false">
      <c r="B76" s="192" t="n">
        <v>45291</v>
      </c>
      <c r="C76" s="150" t="s">
        <v>56</v>
      </c>
      <c r="D76" s="0" t="n">
        <v>2.93</v>
      </c>
      <c r="E76" s="75" t="n">
        <f aca="false">E75</f>
        <v>8288.95399579359</v>
      </c>
      <c r="F76" s="75"/>
      <c r="G76" s="37"/>
      <c r="H76" s="38" t="n">
        <f aca="false">E76-G76+H75</f>
        <v>-13929.5967567588</v>
      </c>
    </row>
    <row r="77" customFormat="false" ht="12.75" hidden="false" customHeight="false" outlineLevel="0" collapsed="false">
      <c r="B77" s="192" t="n">
        <v>45322</v>
      </c>
      <c r="C77" s="156" t="s">
        <v>42</v>
      </c>
      <c r="D77" s="0" t="n">
        <v>6.71</v>
      </c>
      <c r="E77" s="75" t="n">
        <v>14000</v>
      </c>
      <c r="F77" s="75"/>
      <c r="G77" s="37"/>
      <c r="H77" s="38" t="n">
        <f aca="false">E77-G77+H76</f>
        <v>70.4032432412278</v>
      </c>
    </row>
    <row r="78" customFormat="false" ht="12.75" hidden="false" customHeight="false" outlineLevel="0" collapsed="false">
      <c r="C78" s="156" t="s">
        <v>44</v>
      </c>
      <c r="D78" s="0" t="n">
        <v>4.53</v>
      </c>
      <c r="E78" s="75" t="n">
        <f aca="false">E77+(E77*D77/100)</f>
        <v>14939.4</v>
      </c>
      <c r="F78" s="75"/>
      <c r="G78" s="37"/>
      <c r="H78" s="38" t="n">
        <f aca="false">E78-G78+H77</f>
        <v>15009.8032432412</v>
      </c>
    </row>
    <row r="79" customFormat="false" ht="12.75" hidden="false" customHeight="false" outlineLevel="0" collapsed="false">
      <c r="C79" s="156" t="s">
        <v>46</v>
      </c>
      <c r="D79" s="0" t="n">
        <v>3.16</v>
      </c>
      <c r="E79" s="75" t="n">
        <f aca="false">E78+(E78*D78/100)</f>
        <v>15616.15482</v>
      </c>
      <c r="F79" s="75"/>
      <c r="G79" s="37"/>
      <c r="H79" s="38" t="n">
        <f aca="false">E79-G79+H78</f>
        <v>30625.9580632412</v>
      </c>
    </row>
    <row r="80" customFormat="false" ht="12.75" hidden="false" customHeight="false" outlineLevel="0" collapsed="false">
      <c r="C80" s="157" t="s">
        <v>328</v>
      </c>
      <c r="E80" s="75"/>
      <c r="F80" s="75"/>
      <c r="G80" s="37" t="n">
        <v>-3795</v>
      </c>
      <c r="H80" s="38" t="n">
        <f aca="false">E80-G80+H79</f>
        <v>34420.9580632412</v>
      </c>
    </row>
    <row r="81" customFormat="false" ht="12.75" hidden="false" customHeight="false" outlineLevel="0" collapsed="false">
      <c r="C81" s="156" t="s">
        <v>329</v>
      </c>
      <c r="D81" s="0" t="n">
        <v>3.16</v>
      </c>
      <c r="E81" s="75" t="n">
        <f aca="false">E79+(E79*D79/100)</f>
        <v>16109.625312312</v>
      </c>
      <c r="F81" s="75"/>
      <c r="G81" s="37" t="n">
        <v>85000</v>
      </c>
      <c r="H81" s="38" t="n">
        <f aca="false">E81-G81+H80</f>
        <v>-34469.4166244468</v>
      </c>
    </row>
    <row r="82" customFormat="false" ht="12.75" hidden="false" customHeight="false" outlineLevel="0" collapsed="false">
      <c r="C82" s="157" t="s">
        <v>330</v>
      </c>
      <c r="D82" s="0" t="n">
        <v>5.54</v>
      </c>
      <c r="E82" s="75"/>
      <c r="F82" s="75"/>
      <c r="G82" s="37" t="n">
        <v>-5600</v>
      </c>
      <c r="H82" s="38" t="n">
        <f aca="false">E82-G82+H81</f>
        <v>-28869.4166244468</v>
      </c>
    </row>
    <row r="83" customFormat="false" ht="12.75" hidden="false" customHeight="false" outlineLevel="0" collapsed="false">
      <c r="C83" s="158" t="s">
        <v>331</v>
      </c>
      <c r="E83" s="75" t="n">
        <f aca="false">E81+(E81*D82/100)</f>
        <v>17002.0985546141</v>
      </c>
      <c r="F83" s="75"/>
      <c r="G83" s="37"/>
      <c r="H83" s="38" t="n">
        <f aca="false">E83-G83+H82</f>
        <v>-11867.3180698327</v>
      </c>
    </row>
    <row r="84" customFormat="false" ht="12.75" hidden="false" customHeight="false" outlineLevel="0" collapsed="false">
      <c r="C84" s="158" t="s">
        <v>50</v>
      </c>
      <c r="E84" s="75" t="n">
        <f aca="false">E83+(E83*D83/100)</f>
        <v>17002.0985546141</v>
      </c>
      <c r="F84" s="75"/>
      <c r="H84" s="38" t="n">
        <f aca="false">E84-G84+H83</f>
        <v>5134.78048478139</v>
      </c>
    </row>
    <row r="85" customFormat="false" ht="12.75" hidden="false" customHeight="false" outlineLevel="0" collapsed="false">
      <c r="C85" s="158" t="s">
        <v>51</v>
      </c>
      <c r="E85" s="75" t="n">
        <f aca="false">E84+(E84*D84/100)</f>
        <v>17002.0985546141</v>
      </c>
      <c r="F85" s="75"/>
      <c r="H85" s="38" t="n">
        <f aca="false">E85-G85+H84</f>
        <v>22136.8790393955</v>
      </c>
    </row>
    <row r="86" customFormat="false" ht="12.75" hidden="false" customHeight="false" outlineLevel="0" collapsed="false">
      <c r="C86" s="158" t="s">
        <v>52</v>
      </c>
      <c r="E86" s="75" t="n">
        <f aca="false">E85+(E85*D85/100)</f>
        <v>17002.0985546141</v>
      </c>
      <c r="F86" s="75"/>
      <c r="H86" s="38" t="n">
        <f aca="false">E86-G86+H85</f>
        <v>39138.9775940096</v>
      </c>
    </row>
    <row r="87" customFormat="false" ht="12.75" hidden="false" customHeight="false" outlineLevel="0" collapsed="false">
      <c r="C87" s="158" t="s">
        <v>332</v>
      </c>
      <c r="E87" s="75" t="n">
        <f aca="false">E86+(E86*D86/100)</f>
        <v>17002.0985546141</v>
      </c>
      <c r="F87" s="75"/>
      <c r="H87" s="38" t="n">
        <f aca="false">E87-G87+H86</f>
        <v>56141.0761486236</v>
      </c>
    </row>
    <row r="88" customFormat="false" ht="12.75" hidden="false" customHeight="false" outlineLevel="0" collapsed="false">
      <c r="C88" s="158" t="s">
        <v>54</v>
      </c>
      <c r="E88" s="75" t="n">
        <f aca="false">E87+(E87*D87/100)</f>
        <v>17002.0985546141</v>
      </c>
      <c r="F88" s="75"/>
      <c r="H88" s="38" t="n">
        <f aca="false">E88-G88+H87</f>
        <v>73143.1747032377</v>
      </c>
    </row>
    <row r="89" customFormat="false" ht="12.75" hidden="false" customHeight="false" outlineLevel="0" collapsed="false">
      <c r="C89" s="158" t="s">
        <v>55</v>
      </c>
      <c r="E89" s="75" t="n">
        <f aca="false">E88+(E88*D88/100)</f>
        <v>17002.0985546141</v>
      </c>
      <c r="F89" s="75"/>
      <c r="H89" s="38" t="n">
        <f aca="false">E89-G89+H88</f>
        <v>90145.2732578518</v>
      </c>
    </row>
    <row r="90" customFormat="false" ht="12.75" hidden="false" customHeight="false" outlineLevel="0" collapsed="false">
      <c r="C90" s="158" t="s">
        <v>56</v>
      </c>
      <c r="E90" s="75" t="n">
        <f aca="false">E89+(E89*D89/100)</f>
        <v>17002.0985546141</v>
      </c>
      <c r="F90" s="75"/>
      <c r="H90" s="38" t="n">
        <f aca="false">E90-G90+H89</f>
        <v>107147.371812466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18E"/>
    <pageSetUpPr fitToPage="false"/>
  </sheetPr>
  <dimension ref="A3:N62"/>
  <sheetViews>
    <sheetView showFormulas="false" showGridLines="true" showRowColHeaders="true" showZeros="true" rightToLeft="false" tabSelected="false" showOutlineSymbols="true" defaultGridColor="true" view="normal" topLeftCell="A35" colorId="64" zoomScale="140" zoomScaleNormal="140" zoomScalePageLayoutView="100" workbookViewId="0">
      <selection pane="topLeft" activeCell="C3" activeCellId="1" sqref="F84:F86 C3"/>
    </sheetView>
  </sheetViews>
  <sheetFormatPr defaultColWidth="8.66015625" defaultRowHeight="12.7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.43"/>
    <col collapsed="false" customWidth="true" hidden="false" outlineLevel="0" max="3" min="3" style="0" width="31.43"/>
    <col collapsed="false" customWidth="true" hidden="false" outlineLevel="0" max="4" min="4" style="0" width="5.14"/>
    <col collapsed="false" customWidth="true" hidden="false" outlineLevel="0" max="5" min="5" style="0" width="9.43"/>
    <col collapsed="false" customWidth="true" hidden="false" outlineLevel="0" max="6" min="6" style="0" width="11.43"/>
    <col collapsed="false" customWidth="true" hidden="false" outlineLevel="0" max="8" min="7" style="0" width="11.71"/>
    <col collapsed="false" customWidth="true" hidden="false" outlineLevel="0" max="10" min="10" style="0" width="10.57"/>
    <col collapsed="false" customWidth="true" hidden="false" outlineLevel="0" max="11" min="11" style="0" width="23.71"/>
    <col collapsed="false" customWidth="true" hidden="false" outlineLevel="0" max="12" min="12" style="0" width="5.29"/>
    <col collapsed="false" customWidth="true" hidden="false" outlineLevel="0" max="14" min="13" style="0" width="9.57"/>
    <col collapsed="false" customWidth="true" hidden="false" outlineLevel="0" max="15" min="15" style="0" width="10.57"/>
  </cols>
  <sheetData>
    <row r="3" customFormat="false" ht="13.8" hidden="false" customHeight="false" outlineLevel="0" collapsed="false">
      <c r="C3" s="34" t="n">
        <v>45739</v>
      </c>
    </row>
    <row r="4" customFormat="false" ht="12.75" hidden="false" customHeight="false" outlineLevel="0" collapsed="false">
      <c r="E4" s="187"/>
    </row>
    <row r="5" customFormat="false" ht="12.75" hidden="false" customHeight="false" outlineLevel="0" collapsed="false">
      <c r="B5" s="65"/>
      <c r="C5" s="65"/>
      <c r="D5" s="200" t="s">
        <v>393</v>
      </c>
      <c r="E5" s="200" t="s">
        <v>408</v>
      </c>
      <c r="F5" s="201" t="s">
        <v>395</v>
      </c>
      <c r="G5" s="200" t="s">
        <v>218</v>
      </c>
      <c r="H5" s="200" t="s">
        <v>396</v>
      </c>
    </row>
    <row r="6" customFormat="false" ht="12.75" hidden="false" customHeight="false" outlineLevel="0" collapsed="false">
      <c r="B6" s="65"/>
      <c r="C6" s="65"/>
      <c r="D6" s="65"/>
      <c r="E6" s="202"/>
      <c r="F6" s="202"/>
      <c r="G6" s="202"/>
      <c r="H6" s="202" t="n">
        <f aca="false">I4+E6-G6</f>
        <v>0</v>
      </c>
    </row>
    <row r="7" customFormat="false" ht="12.75" hidden="false" customHeight="false" outlineLevel="0" collapsed="false">
      <c r="B7" s="203" t="n">
        <v>44651</v>
      </c>
      <c r="C7" s="65"/>
      <c r="D7" s="65"/>
      <c r="F7" s="202" t="n">
        <v>48000</v>
      </c>
      <c r="G7" s="65" t="n">
        <v>28000</v>
      </c>
      <c r="H7" s="202" t="n">
        <f aca="false">F7-G7+H6</f>
        <v>20000</v>
      </c>
    </row>
    <row r="8" customFormat="false" ht="12.75" hidden="false" customHeight="false" outlineLevel="0" collapsed="false">
      <c r="B8" s="203" t="n">
        <v>44681</v>
      </c>
      <c r="C8" s="107" t="s">
        <v>409</v>
      </c>
      <c r="D8" s="65"/>
      <c r="F8" s="202"/>
      <c r="G8" s="65" t="n">
        <v>4000</v>
      </c>
      <c r="H8" s="202" t="n">
        <f aca="false">F8-G8+H7</f>
        <v>16000</v>
      </c>
    </row>
    <row r="9" customFormat="false" ht="12.75" hidden="false" customHeight="false" outlineLevel="0" collapsed="false">
      <c r="B9" s="203" t="n">
        <v>44711</v>
      </c>
      <c r="C9" s="65" t="s">
        <v>410</v>
      </c>
      <c r="D9" s="65"/>
      <c r="F9" s="202"/>
      <c r="G9" s="65" t="n">
        <v>4000</v>
      </c>
      <c r="H9" s="202" t="n">
        <f aca="false">F9-G9+H8</f>
        <v>12000</v>
      </c>
    </row>
    <row r="10" customFormat="false" ht="12.75" hidden="false" customHeight="false" outlineLevel="0" collapsed="false">
      <c r="B10" s="203" t="n">
        <v>44742</v>
      </c>
      <c r="C10" s="65"/>
      <c r="D10" s="65"/>
      <c r="F10" s="202"/>
      <c r="G10" s="65"/>
      <c r="H10" s="202" t="n">
        <f aca="false">F10-G10+H9</f>
        <v>12000</v>
      </c>
    </row>
    <row r="11" customFormat="false" ht="12.75" hidden="false" customHeight="false" outlineLevel="0" collapsed="false">
      <c r="B11" s="203" t="n">
        <v>44772</v>
      </c>
      <c r="C11" s="65"/>
      <c r="D11" s="65"/>
      <c r="F11" s="202"/>
      <c r="G11" s="65"/>
      <c r="H11" s="202" t="n">
        <f aca="false">F11-G11+H10</f>
        <v>12000</v>
      </c>
    </row>
    <row r="12" customFormat="false" ht="12.75" hidden="false" customHeight="false" outlineLevel="0" collapsed="false">
      <c r="B12" s="203" t="n">
        <v>44803</v>
      </c>
      <c r="C12" s="204" t="s">
        <v>411</v>
      </c>
      <c r="D12" s="205"/>
      <c r="E12" s="110"/>
      <c r="F12" s="202"/>
      <c r="G12" s="65"/>
      <c r="H12" s="202" t="n">
        <f aca="false">F12-G12+H11</f>
        <v>12000</v>
      </c>
    </row>
    <row r="13" customFormat="false" ht="12.75" hidden="false" customHeight="false" outlineLevel="0" collapsed="false">
      <c r="B13" s="203" t="n">
        <v>44834</v>
      </c>
      <c r="C13" s="206" t="s">
        <v>412</v>
      </c>
      <c r="D13" s="207"/>
      <c r="E13" s="208"/>
      <c r="F13" s="202"/>
      <c r="G13" s="65"/>
      <c r="H13" s="202" t="n">
        <f aca="false">F13-G13+H12</f>
        <v>12000</v>
      </c>
      <c r="J13" s="4"/>
    </row>
    <row r="14" customFormat="false" ht="12.75" hidden="false" customHeight="false" outlineLevel="0" collapsed="false">
      <c r="B14" s="203" t="n">
        <v>44864</v>
      </c>
      <c r="C14" s="65"/>
      <c r="D14" s="65"/>
      <c r="F14" s="202"/>
      <c r="G14" s="65"/>
      <c r="H14" s="202" t="n">
        <f aca="false">F14-G14+H13</f>
        <v>12000</v>
      </c>
      <c r="J14" s="4"/>
    </row>
    <row r="15" customFormat="false" ht="12.75" hidden="false" customHeight="false" outlineLevel="0" collapsed="false">
      <c r="B15" s="203" t="n">
        <v>44895</v>
      </c>
      <c r="C15" s="65" t="s">
        <v>413</v>
      </c>
      <c r="D15" s="65"/>
      <c r="F15" s="202" t="n">
        <v>-12000</v>
      </c>
      <c r="G15" s="65"/>
      <c r="H15" s="202" t="n">
        <f aca="false">F15-G15+H14</f>
        <v>0</v>
      </c>
      <c r="J15" s="4"/>
    </row>
    <row r="16" customFormat="false" ht="12.75" hidden="false" customHeight="false" outlineLevel="0" collapsed="false">
      <c r="B16" s="203"/>
      <c r="C16" s="209" t="s">
        <v>414</v>
      </c>
      <c r="D16" s="65"/>
      <c r="F16" s="202"/>
      <c r="G16" s="65"/>
      <c r="H16" s="202"/>
      <c r="J16" s="4"/>
    </row>
    <row r="17" customFormat="false" ht="12.75" hidden="false" customHeight="false" outlineLevel="0" collapsed="false">
      <c r="B17" s="210" t="n">
        <v>44925</v>
      </c>
      <c r="C17" s="211" t="s">
        <v>415</v>
      </c>
      <c r="D17" s="212"/>
      <c r="E17" s="213"/>
      <c r="F17" s="214"/>
      <c r="G17" s="212"/>
      <c r="H17" s="215" t="n">
        <f aca="false">F17-G17+H15</f>
        <v>0</v>
      </c>
      <c r="J17" s="4"/>
    </row>
    <row r="18" customFormat="false" ht="12.75" hidden="false" customHeight="false" outlineLevel="0" collapsed="false">
      <c r="B18" s="203" t="n">
        <v>44956</v>
      </c>
      <c r="C18" s="209" t="s">
        <v>112</v>
      </c>
      <c r="D18" s="65" t="n">
        <v>6.65</v>
      </c>
      <c r="E18" s="216" t="n">
        <v>6920</v>
      </c>
      <c r="F18" s="202" t="n">
        <f aca="false">E18</f>
        <v>6920</v>
      </c>
      <c r="G18" s="202" t="n">
        <v>6920</v>
      </c>
      <c r="H18" s="202" t="n">
        <f aca="false">F18-G18+H17</f>
        <v>0</v>
      </c>
    </row>
    <row r="19" customFormat="false" ht="12.75" hidden="false" customHeight="false" outlineLevel="0" collapsed="false">
      <c r="B19" s="217" t="n">
        <v>44985</v>
      </c>
      <c r="C19" s="218"/>
      <c r="D19" s="218" t="n">
        <v>3.15</v>
      </c>
      <c r="E19" s="216" t="n">
        <f aca="false">E18+(E18*D18/100)</f>
        <v>7380.18</v>
      </c>
      <c r="F19" s="216" t="n">
        <f aca="false">E19</f>
        <v>7380.18</v>
      </c>
      <c r="G19" s="219"/>
      <c r="H19" s="219" t="n">
        <f aca="false">F19-G19+H18</f>
        <v>7380.18</v>
      </c>
    </row>
    <row r="20" customFormat="false" ht="12.75" hidden="false" customHeight="false" outlineLevel="0" collapsed="false">
      <c r="B20" s="220" t="n">
        <v>45015</v>
      </c>
      <c r="C20" s="221"/>
      <c r="D20" s="221" t="n">
        <v>2.29</v>
      </c>
      <c r="E20" s="222" t="n">
        <f aca="false">E19+(E19*D19/100)</f>
        <v>7612.65567</v>
      </c>
      <c r="F20" s="222" t="n">
        <f aca="false">E20</f>
        <v>7612.65567</v>
      </c>
      <c r="G20" s="223"/>
      <c r="H20" s="224" t="n">
        <f aca="false">F20-G20+H19</f>
        <v>14992.83567</v>
      </c>
    </row>
    <row r="21" customFormat="false" ht="12.75" hidden="false" customHeight="false" outlineLevel="0" collapsed="false">
      <c r="B21" s="225"/>
      <c r="C21" s="226" t="s">
        <v>416</v>
      </c>
      <c r="D21" s="226"/>
      <c r="E21" s="227"/>
      <c r="F21" s="227"/>
      <c r="G21" s="228"/>
      <c r="H21" s="228"/>
    </row>
    <row r="22" customFormat="false" ht="12.75" hidden="false" customHeight="false" outlineLevel="0" collapsed="false">
      <c r="B22" s="107" t="n">
        <v>45046</v>
      </c>
      <c r="C22" s="229" t="s">
        <v>417</v>
      </c>
      <c r="D22" s="65" t="n">
        <v>2.39</v>
      </c>
      <c r="E22" s="216" t="n">
        <f aca="false">E20+(E20*D20/100)</f>
        <v>7786.985484843</v>
      </c>
      <c r="F22" s="216" t="n">
        <f aca="false">E22</f>
        <v>7786.985484843</v>
      </c>
      <c r="G22" s="230" t="n">
        <v>8425.46</v>
      </c>
      <c r="H22" s="202" t="n">
        <f aca="false">F22-G22+H20</f>
        <v>14354.361154843</v>
      </c>
    </row>
    <row r="23" customFormat="false" ht="12.75" hidden="false" customHeight="false" outlineLevel="0" collapsed="false">
      <c r="B23" s="107" t="n">
        <v>45076</v>
      </c>
      <c r="C23" s="65" t="s">
        <v>112</v>
      </c>
      <c r="D23" s="65" t="n">
        <v>0.04</v>
      </c>
      <c r="E23" s="216" t="n">
        <f aca="false">E22+(E22*D22/100)</f>
        <v>7973.09443793075</v>
      </c>
      <c r="F23" s="216" t="n">
        <f aca="false">E23</f>
        <v>7973.09443793075</v>
      </c>
      <c r="G23" s="202" t="n">
        <v>28080</v>
      </c>
      <c r="H23" s="202" t="n">
        <f aca="false">F23-G23+H22</f>
        <v>-5752.54440722625</v>
      </c>
    </row>
    <row r="24" customFormat="false" ht="12.75" hidden="false" customHeight="false" outlineLevel="0" collapsed="false">
      <c r="B24" s="107" t="n">
        <v>45107</v>
      </c>
      <c r="C24" s="65"/>
      <c r="D24" s="65" t="n">
        <v>3.92</v>
      </c>
      <c r="E24" s="216" t="n">
        <f aca="false">E23+(E23*D23/100)</f>
        <v>7976.28367570592</v>
      </c>
      <c r="F24" s="216" t="n">
        <f aca="false">E24</f>
        <v>7976.28367570592</v>
      </c>
      <c r="G24" s="231"/>
      <c r="H24" s="202" t="n">
        <f aca="false">F24-G24+H23</f>
        <v>2223.73926847967</v>
      </c>
    </row>
    <row r="25" customFormat="false" ht="12.75" hidden="false" customHeight="false" outlineLevel="0" collapsed="false">
      <c r="B25" s="107" t="n">
        <v>45137</v>
      </c>
      <c r="C25" s="65"/>
      <c r="D25" s="65" t="n">
        <v>9.49</v>
      </c>
      <c r="E25" s="232" t="n">
        <f aca="false">E24+(E24*D24/100)</f>
        <v>8288.95399579359</v>
      </c>
      <c r="F25" s="232" t="n">
        <f aca="false">E25</f>
        <v>8288.95399579359</v>
      </c>
      <c r="G25" s="231" t="n">
        <v>50000</v>
      </c>
      <c r="H25" s="202" t="n">
        <f aca="false">F25-G25+H24</f>
        <v>-39487.3067357267</v>
      </c>
    </row>
    <row r="26" customFormat="false" ht="12.75" hidden="false" customHeight="false" outlineLevel="0" collapsed="false">
      <c r="B26" s="107" t="n">
        <v>45168</v>
      </c>
      <c r="C26" s="65"/>
      <c r="D26" s="65" t="n">
        <v>9.09</v>
      </c>
      <c r="E26" s="216" t="n">
        <f aca="false">E25+(E25*D25/100)</f>
        <v>9075.5757299944</v>
      </c>
      <c r="F26" s="232" t="n">
        <f aca="false">E25</f>
        <v>8288.95399579359</v>
      </c>
      <c r="G26" s="231"/>
      <c r="H26" s="202" t="n">
        <f aca="false">F26-G26+H25</f>
        <v>-31198.3527399331</v>
      </c>
    </row>
    <row r="27" customFormat="false" ht="12.75" hidden="false" customHeight="false" outlineLevel="0" collapsed="false">
      <c r="B27" s="107" t="n">
        <v>45199</v>
      </c>
      <c r="C27" s="65"/>
      <c r="D27" s="65" t="n">
        <v>4.75</v>
      </c>
      <c r="E27" s="216" t="n">
        <f aca="false">E26+(E26*D26/100)</f>
        <v>9900.54556385089</v>
      </c>
      <c r="F27" s="232" t="n">
        <f aca="false">E25</f>
        <v>8288.95399579359</v>
      </c>
      <c r="G27" s="233"/>
      <c r="H27" s="202" t="n">
        <f aca="false">F27-G27+H26</f>
        <v>-22909.3987441396</v>
      </c>
    </row>
    <row r="28" customFormat="false" ht="12.75" hidden="false" customHeight="false" outlineLevel="0" collapsed="false">
      <c r="B28" s="107" t="n">
        <v>45229</v>
      </c>
      <c r="C28" s="65"/>
      <c r="D28" s="65" t="n">
        <v>3.43</v>
      </c>
      <c r="E28" s="216" t="n">
        <f aca="false">E27+(E27*D27/100)</f>
        <v>10370.8214781338</v>
      </c>
      <c r="F28" s="232" t="n">
        <f aca="false">E25</f>
        <v>8288.95399579359</v>
      </c>
      <c r="G28" s="231"/>
      <c r="H28" s="202" t="n">
        <f aca="false">F28-G28+H27</f>
        <v>-14620.444748346</v>
      </c>
    </row>
    <row r="29" customFormat="false" ht="12.75" hidden="false" customHeight="false" outlineLevel="0" collapsed="false">
      <c r="B29" s="107" t="n">
        <v>45260</v>
      </c>
      <c r="C29" s="65"/>
      <c r="D29" s="65" t="n">
        <v>3.28</v>
      </c>
      <c r="E29" s="216" t="n">
        <f aca="false">E28+(E28*D28/100)</f>
        <v>10726.5406548338</v>
      </c>
      <c r="F29" s="232" t="n">
        <f aca="false">E25</f>
        <v>8288.95399579359</v>
      </c>
      <c r="G29" s="231" t="n">
        <v>15887.06</v>
      </c>
      <c r="H29" s="202" t="n">
        <f aca="false">F29-G29+H28</f>
        <v>-22218.5507525524</v>
      </c>
    </row>
    <row r="30" customFormat="false" ht="12.75" hidden="false" customHeight="false" outlineLevel="0" collapsed="false">
      <c r="B30" s="107" t="n">
        <v>45290</v>
      </c>
      <c r="C30" s="65"/>
      <c r="D30" s="65" t="n">
        <v>2.93</v>
      </c>
      <c r="E30" s="216" t="n">
        <f aca="false">E29+(E29*D29/100)</f>
        <v>11078.3711883124</v>
      </c>
      <c r="F30" s="232" t="n">
        <f aca="false">E25</f>
        <v>8288.95399579359</v>
      </c>
      <c r="G30" s="231"/>
      <c r="H30" s="202" t="n">
        <f aca="false">F30-G30+H29</f>
        <v>-13929.5967567588</v>
      </c>
    </row>
    <row r="31" customFormat="false" ht="12.75" hidden="false" customHeight="false" outlineLevel="0" collapsed="false">
      <c r="B31" s="107" t="n">
        <v>45321</v>
      </c>
      <c r="C31" s="65"/>
      <c r="D31" s="65" t="n">
        <v>6.71</v>
      </c>
      <c r="E31" s="216" t="n">
        <f aca="false">E30+(E30*D30/100)</f>
        <v>11402.9674641299</v>
      </c>
      <c r="F31" s="232" t="n">
        <f aca="false">E25</f>
        <v>8288.95399579359</v>
      </c>
      <c r="G31" s="231"/>
      <c r="H31" s="202" t="n">
        <f aca="false">F31-G31+H30</f>
        <v>-5640.64276096518</v>
      </c>
    </row>
    <row r="32" customFormat="false" ht="12.75" hidden="false" customHeight="false" outlineLevel="0" collapsed="false">
      <c r="B32" s="217" t="n">
        <v>45350</v>
      </c>
      <c r="C32" s="218"/>
      <c r="D32" s="218" t="n">
        <v>4.53</v>
      </c>
      <c r="E32" s="216" t="n">
        <f aca="false">E31+(E31*D31/100)</f>
        <v>12168.106580973</v>
      </c>
      <c r="F32" s="216" t="n">
        <f aca="false">E32</f>
        <v>12168.106580973</v>
      </c>
      <c r="G32" s="231"/>
      <c r="H32" s="219" t="n">
        <f aca="false">F32-G32+H31</f>
        <v>6527.46382000784</v>
      </c>
    </row>
    <row r="33" customFormat="false" ht="12.75" hidden="false" customHeight="false" outlineLevel="0" collapsed="false">
      <c r="B33" s="220" t="n">
        <v>45381</v>
      </c>
      <c r="C33" s="221"/>
      <c r="D33" s="221" t="n">
        <v>3.16</v>
      </c>
      <c r="E33" s="222" t="n">
        <f aca="false">E32+(E32*D32/100)</f>
        <v>12719.3218090911</v>
      </c>
      <c r="F33" s="222" t="n">
        <f aca="false">E33</f>
        <v>12719.3218090911</v>
      </c>
      <c r="G33" s="234"/>
      <c r="H33" s="223" t="n">
        <f aca="false">F33-G33+H32</f>
        <v>19246.7856290989</v>
      </c>
    </row>
    <row r="34" customFormat="false" ht="12.75" hidden="false" customHeight="false" outlineLevel="0" collapsed="false">
      <c r="B34" s="65"/>
      <c r="C34" s="64" t="s">
        <v>328</v>
      </c>
      <c r="D34" s="65"/>
      <c r="E34" s="216" t="n">
        <v>3795</v>
      </c>
      <c r="F34" s="216" t="n">
        <f aca="false">E34</f>
        <v>3795</v>
      </c>
      <c r="G34" s="231"/>
      <c r="H34" s="202" t="n">
        <f aca="false">F34-G34+H33</f>
        <v>23041.7856290989</v>
      </c>
    </row>
    <row r="35" customFormat="false" ht="12.75" hidden="false" customHeight="false" outlineLevel="0" collapsed="false">
      <c r="B35" s="65"/>
      <c r="C35" s="64" t="s">
        <v>330</v>
      </c>
      <c r="D35" s="65"/>
      <c r="E35" s="216" t="n">
        <v>5600</v>
      </c>
      <c r="F35" s="216" t="n">
        <f aca="false">E35</f>
        <v>5600</v>
      </c>
      <c r="G35" s="231"/>
      <c r="H35" s="202" t="n">
        <f aca="false">F35-G35+H34</f>
        <v>28641.7856290989</v>
      </c>
    </row>
    <row r="36" customFormat="false" ht="12.75" hidden="false" customHeight="false" outlineLevel="0" collapsed="false">
      <c r="B36" s="65"/>
      <c r="C36" s="65" t="s">
        <v>398</v>
      </c>
      <c r="D36" s="65"/>
      <c r="E36" s="216" t="n">
        <v>278.97</v>
      </c>
      <c r="F36" s="216" t="n">
        <f aca="false">E36</f>
        <v>278.97</v>
      </c>
      <c r="G36" s="231"/>
      <c r="H36" s="202" t="n">
        <f aca="false">F36-G36+H35</f>
        <v>28920.7556290989</v>
      </c>
    </row>
    <row r="37" customFormat="false" ht="12.75" hidden="false" customHeight="false" outlineLevel="0" collapsed="false">
      <c r="B37" s="65"/>
      <c r="C37" s="65" t="s">
        <v>399</v>
      </c>
      <c r="D37" s="65"/>
      <c r="E37" s="216" t="n">
        <v>10000</v>
      </c>
      <c r="F37" s="216" t="n">
        <f aca="false">E37</f>
        <v>10000</v>
      </c>
      <c r="G37" s="231"/>
      <c r="H37" s="202" t="n">
        <f aca="false">F37-G37+H36</f>
        <v>38920.7556290989</v>
      </c>
    </row>
    <row r="38" customFormat="false" ht="12.75" hidden="false" customHeight="false" outlineLevel="0" collapsed="false">
      <c r="B38" s="107" t="n">
        <v>45762</v>
      </c>
      <c r="C38" s="65" t="s">
        <v>112</v>
      </c>
      <c r="D38" s="65" t="n">
        <v>3.18</v>
      </c>
      <c r="E38" s="232" t="n">
        <f aca="false">E33+(E33*D33/100)</f>
        <v>13121.2523782584</v>
      </c>
      <c r="F38" s="232" t="n">
        <f aca="false">E38</f>
        <v>13121.2523782584</v>
      </c>
      <c r="G38" s="231" t="n">
        <v>85000</v>
      </c>
      <c r="H38" s="202" t="n">
        <f aca="false">F38-G38+H37</f>
        <v>-32957.9919926427</v>
      </c>
    </row>
    <row r="39" customFormat="false" ht="12.75" hidden="false" customHeight="false" outlineLevel="0" collapsed="false">
      <c r="B39" s="107" t="n">
        <v>45442</v>
      </c>
      <c r="C39" s="218"/>
      <c r="D39" s="65" t="n">
        <v>3.37</v>
      </c>
      <c r="E39" s="216" t="n">
        <f aca="false">E38+(E38*D38/100)</f>
        <v>13538.508203887</v>
      </c>
      <c r="F39" s="232" t="n">
        <f aca="false">E38</f>
        <v>13121.2523782584</v>
      </c>
      <c r="G39" s="231"/>
      <c r="H39" s="202" t="n">
        <f aca="false">F39-G39+H38</f>
        <v>-19836.7396143843</v>
      </c>
    </row>
    <row r="40" customFormat="false" ht="12.75" hidden="false" customHeight="false" outlineLevel="0" collapsed="false">
      <c r="B40" s="107" t="n">
        <v>45473</v>
      </c>
      <c r="C40" s="218"/>
      <c r="D40" s="65" t="n">
        <v>1.64</v>
      </c>
      <c r="E40" s="216" t="n">
        <f aca="false">E39+(E39*D39/100)</f>
        <v>13994.755930358</v>
      </c>
      <c r="F40" s="216" t="n">
        <f aca="false">E40</f>
        <v>13994.755930358</v>
      </c>
      <c r="G40" s="65"/>
      <c r="H40" s="202" t="n">
        <f aca="false">F40-G40+H39</f>
        <v>-5841.98368402633</v>
      </c>
    </row>
    <row r="41" customFormat="false" ht="12.75" hidden="false" customHeight="false" outlineLevel="0" collapsed="false">
      <c r="B41" s="107" t="n">
        <v>45503</v>
      </c>
      <c r="C41" s="218"/>
      <c r="D41" s="65" t="n">
        <v>3.23</v>
      </c>
      <c r="E41" s="216" t="n">
        <f aca="false">E40+(E40*D40/100)</f>
        <v>14224.2699276159</v>
      </c>
      <c r="F41" s="216" t="n">
        <f aca="false">E41</f>
        <v>14224.2699276159</v>
      </c>
      <c r="G41" s="65"/>
      <c r="H41" s="202" t="n">
        <f aca="false">F41-G41+H40</f>
        <v>8382.28624358952</v>
      </c>
    </row>
    <row r="42" customFormat="false" ht="12.75" hidden="false" customHeight="false" outlineLevel="0" collapsed="false">
      <c r="B42" s="107" t="n">
        <v>45534</v>
      </c>
      <c r="C42" s="218"/>
      <c r="D42" s="65" t="n">
        <v>2.47</v>
      </c>
      <c r="E42" s="216" t="n">
        <f aca="false">E41+(E41*D41/100)</f>
        <v>14683.7138462778</v>
      </c>
      <c r="F42" s="216" t="n">
        <f aca="false">E42</f>
        <v>14683.7138462778</v>
      </c>
      <c r="G42" s="65"/>
      <c r="H42" s="202" t="n">
        <f aca="false">F42-G42+H41</f>
        <v>23066.0000898674</v>
      </c>
    </row>
    <row r="43" customFormat="false" ht="12.75" hidden="false" customHeight="false" outlineLevel="0" collapsed="false">
      <c r="B43" s="107" t="n">
        <v>45565</v>
      </c>
      <c r="C43" s="218"/>
      <c r="D43" s="65" t="n">
        <v>2.97</v>
      </c>
      <c r="E43" s="216" t="n">
        <f aca="false">E42+(E42*D42/100)</f>
        <v>15046.4015782809</v>
      </c>
      <c r="F43" s="216" t="n">
        <f aca="false">E43</f>
        <v>15046.4015782809</v>
      </c>
      <c r="G43" s="65"/>
      <c r="H43" s="202" t="n">
        <f aca="false">F43-G43+H42</f>
        <v>38112.4016681483</v>
      </c>
    </row>
    <row r="44" customFormat="false" ht="12.75" hidden="false" customHeight="false" outlineLevel="0" collapsed="false">
      <c r="B44" s="107" t="n">
        <v>45595</v>
      </c>
      <c r="C44" s="235"/>
      <c r="D44" s="65" t="n">
        <v>2.88</v>
      </c>
      <c r="E44" s="216" t="n">
        <f aca="false">E43+(E43*D43/100)</f>
        <v>15493.2797051559</v>
      </c>
      <c r="F44" s="216" t="n">
        <f aca="false">E44</f>
        <v>15493.2797051559</v>
      </c>
      <c r="G44" s="235"/>
      <c r="H44" s="202" t="n">
        <f aca="false">F44-G44+H43</f>
        <v>53605.6813733041</v>
      </c>
    </row>
    <row r="45" customFormat="false" ht="12.75" hidden="false" customHeight="false" outlineLevel="0" collapsed="false">
      <c r="B45" s="107" t="n">
        <v>45626</v>
      </c>
      <c r="C45" s="218"/>
      <c r="D45" s="65" t="n">
        <v>2.24</v>
      </c>
      <c r="E45" s="216" t="n">
        <f aca="false">E44+(E44*D44/100)</f>
        <v>15939.4861606643</v>
      </c>
      <c r="F45" s="216" t="n">
        <f aca="false">E45</f>
        <v>15939.4861606643</v>
      </c>
      <c r="G45" s="65"/>
      <c r="H45" s="202" t="n">
        <f aca="false">F45-G45+H44</f>
        <v>69545.1675339685</v>
      </c>
    </row>
    <row r="46" customFormat="false" ht="12.75" hidden="false" customHeight="false" outlineLevel="0" collapsed="false">
      <c r="B46" s="65"/>
      <c r="C46" s="236" t="s">
        <v>417</v>
      </c>
      <c r="D46" s="67"/>
      <c r="E46" s="199"/>
      <c r="F46" s="199"/>
      <c r="G46" s="237" t="n">
        <v>150000</v>
      </c>
      <c r="H46" s="202" t="n">
        <f aca="false">F46-G46+H45</f>
        <v>-80454.8324660315</v>
      </c>
    </row>
    <row r="47" customFormat="false" ht="12.75" hidden="false" customHeight="false" outlineLevel="0" collapsed="false">
      <c r="B47" s="65"/>
      <c r="C47" s="236" t="s">
        <v>418</v>
      </c>
      <c r="D47" s="67"/>
      <c r="E47" s="199"/>
      <c r="F47" s="199"/>
      <c r="G47" s="237" t="n">
        <v>-1500</v>
      </c>
      <c r="H47" s="202" t="n">
        <f aca="false">F47-G47+H46</f>
        <v>-78954.8324660315</v>
      </c>
    </row>
    <row r="48" customFormat="false" ht="12.75" hidden="false" customHeight="false" outlineLevel="0" collapsed="false">
      <c r="B48" s="65"/>
      <c r="C48" s="65" t="s">
        <v>400</v>
      </c>
      <c r="D48" s="65"/>
      <c r="E48" s="216"/>
      <c r="F48" s="216" t="n">
        <v>8000</v>
      </c>
      <c r="G48" s="65"/>
      <c r="H48" s="202" t="n">
        <f aca="false">F48-G48+H47</f>
        <v>-70954.8324660315</v>
      </c>
    </row>
    <row r="49" customFormat="false" ht="12.75" hidden="false" customHeight="false" outlineLevel="0" collapsed="false">
      <c r="B49" s="107" t="n">
        <v>45656</v>
      </c>
      <c r="C49" s="65"/>
      <c r="D49" s="65" t="n">
        <v>1.03</v>
      </c>
      <c r="E49" s="232" t="n">
        <f aca="false">E45+(E45*D45/100)</f>
        <v>16296.5306506632</v>
      </c>
      <c r="F49" s="232" t="n">
        <f aca="false">E49</f>
        <v>16296.5306506632</v>
      </c>
      <c r="G49" s="65"/>
      <c r="H49" s="202" t="n">
        <f aca="false">F49-G49+H48</f>
        <v>-54658.3018153683</v>
      </c>
    </row>
    <row r="50" customFormat="false" ht="12.75" hidden="false" customHeight="false" outlineLevel="0" collapsed="false">
      <c r="B50" s="107" t="n">
        <v>45687</v>
      </c>
      <c r="C50" s="65"/>
      <c r="D50" s="65" t="n">
        <v>5.03</v>
      </c>
      <c r="E50" s="216" t="n">
        <v>22104</v>
      </c>
      <c r="F50" s="232" t="n">
        <f aca="false">E49</f>
        <v>16296.5306506632</v>
      </c>
      <c r="G50" s="65"/>
      <c r="H50" s="202" t="n">
        <f aca="false">F50-G50+H49</f>
        <v>-38361.7711647051</v>
      </c>
    </row>
    <row r="51" customFormat="false" ht="12.75" hidden="false" customHeight="false" outlineLevel="0" collapsed="false">
      <c r="B51" s="238" t="n">
        <v>45716</v>
      </c>
      <c r="C51" s="211"/>
      <c r="D51" s="211" t="n">
        <v>5.03</v>
      </c>
      <c r="E51" s="239" t="n">
        <f aca="false">E50+(E50*D50/100)</f>
        <v>23215.8312</v>
      </c>
      <c r="F51" s="240" t="n">
        <f aca="false">E49</f>
        <v>16296.5306506632</v>
      </c>
      <c r="G51" s="211"/>
      <c r="H51" s="241" t="n">
        <f aca="false">F51-G51+H50</f>
        <v>-22065.2405140419</v>
      </c>
      <c r="I51" s="65"/>
      <c r="J51" s="65"/>
    </row>
    <row r="52" customFormat="false" ht="12.75" hidden="false" customHeight="false" outlineLevel="0" collapsed="false">
      <c r="B52" s="242" t="n">
        <v>45746</v>
      </c>
      <c r="C52" s="213"/>
      <c r="D52" s="213"/>
      <c r="E52" s="243" t="n">
        <f aca="false">E51+(E51*D51/100)</f>
        <v>24383.58750936</v>
      </c>
      <c r="F52" s="216" t="n">
        <f aca="false">E52</f>
        <v>24383.58750936</v>
      </c>
      <c r="G52" s="212"/>
      <c r="H52" s="214" t="n">
        <f aca="false">F52-G52+H51</f>
        <v>2318.34699531813</v>
      </c>
      <c r="I52" s="65"/>
      <c r="J52" s="65"/>
    </row>
    <row r="53" customFormat="false" ht="12.75" hidden="false" customHeight="false" outlineLevel="0" collapsed="false">
      <c r="B53" s="244"/>
      <c r="G53" s="65"/>
      <c r="H53" s="202" t="n">
        <f aca="false">F53-G53+H52</f>
        <v>2318.34699531813</v>
      </c>
      <c r="I53" s="65"/>
      <c r="J53" s="65"/>
    </row>
    <row r="54" customFormat="false" ht="12.75" hidden="false" customHeight="false" outlineLevel="0" collapsed="false">
      <c r="B54" s="65"/>
      <c r="C54" s="65"/>
      <c r="D54" s="65"/>
      <c r="E54" s="216"/>
      <c r="F54" s="216"/>
      <c r="G54" s="65"/>
      <c r="H54" s="202" t="n">
        <f aca="false">F54-G54+H53</f>
        <v>2318.34699531813</v>
      </c>
      <c r="I54" s="65"/>
      <c r="J54" s="65"/>
    </row>
    <row r="55" customFormat="false" ht="13.8" hidden="false" customHeight="false" outlineLevel="0" collapsed="false">
      <c r="B55" s="65"/>
      <c r="C55" s="34"/>
      <c r="D55" s="65"/>
      <c r="E55" s="216"/>
      <c r="F55" s="216"/>
      <c r="G55" s="65"/>
      <c r="H55" s="231"/>
      <c r="I55" s="65"/>
      <c r="J55" s="65"/>
    </row>
    <row r="56" customFormat="false" ht="12.75" hidden="false" customHeight="false" outlineLevel="0" collapsed="false">
      <c r="B56" s="65"/>
      <c r="C56" s="65"/>
      <c r="D56" s="65"/>
      <c r="E56" s="216"/>
      <c r="F56" s="216"/>
      <c r="G56" s="65"/>
      <c r="H56" s="231"/>
      <c r="I56" s="65"/>
      <c r="J56" s="65"/>
    </row>
    <row r="57" customFormat="false" ht="12.75" hidden="false" customHeight="false" outlineLevel="0" collapsed="false">
      <c r="B57" s="65"/>
      <c r="C57" s="65"/>
      <c r="D57" s="65"/>
      <c r="E57" s="216"/>
      <c r="F57" s="216"/>
      <c r="G57" s="65"/>
      <c r="H57" s="231"/>
      <c r="I57" s="65"/>
      <c r="J57" s="65"/>
    </row>
    <row r="58" customFormat="false" ht="12.75" hidden="false" customHeight="false" outlineLevel="0" collapsed="false">
      <c r="A58" s="63"/>
      <c r="B58" s="61" t="s">
        <v>419</v>
      </c>
      <c r="C58" s="67"/>
      <c r="D58" s="67"/>
      <c r="E58" s="62"/>
      <c r="F58" s="61" t="n">
        <v>0</v>
      </c>
      <c r="G58" s="61" t="s">
        <v>420</v>
      </c>
      <c r="H58" s="62" t="n">
        <v>85000</v>
      </c>
      <c r="J58" s="65"/>
      <c r="K58" s="65"/>
      <c r="L58" s="65"/>
      <c r="M58" s="65"/>
      <c r="N58" s="65"/>
    </row>
    <row r="59" customFormat="false" ht="12.75" hidden="false" customHeight="false" outlineLevel="0" collapsed="false">
      <c r="B59" s="67"/>
      <c r="C59" s="66" t="s">
        <v>421</v>
      </c>
      <c r="D59" s="67"/>
      <c r="E59" s="67"/>
      <c r="F59" s="67"/>
      <c r="G59" s="67"/>
      <c r="H59" s="67"/>
    </row>
    <row r="60" customFormat="false" ht="12.75" hidden="false" customHeight="false" outlineLevel="0" collapsed="false">
      <c r="B60" s="67"/>
      <c r="C60" s="67" t="s">
        <v>422</v>
      </c>
      <c r="D60" s="67"/>
      <c r="E60" s="67"/>
      <c r="F60" s="67"/>
      <c r="G60" s="67"/>
      <c r="H60" s="67"/>
    </row>
    <row r="62" customFormat="false" ht="12.75" hidden="false" customHeight="false" outlineLevel="0" collapsed="false">
      <c r="B62" s="245" t="n">
        <v>45611</v>
      </c>
      <c r="C62" s="67" t="s">
        <v>423</v>
      </c>
      <c r="D62" s="67"/>
      <c r="E62" s="67"/>
      <c r="F62" s="67"/>
      <c r="G62" s="67"/>
      <c r="H62" s="246" t="n">
        <v>150000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7"/>
  <sheetViews>
    <sheetView showFormulas="false" showGridLines="true" showRowColHeaders="true" showZeros="true" rightToLeft="false" tabSelected="false" showOutlineSymbols="true" defaultGridColor="true" view="normal" topLeftCell="A3" colorId="64" zoomScale="140" zoomScaleNormal="140" zoomScalePageLayoutView="100" workbookViewId="0">
      <selection pane="topLeft" activeCell="B23" activeCellId="1" sqref="F84:F86 B23"/>
    </sheetView>
  </sheetViews>
  <sheetFormatPr defaultColWidth="8.66015625" defaultRowHeight="12.75" customHeight="false" zeroHeight="false" outlineLevelRow="0" outlineLevelCol="0"/>
  <cols>
    <col collapsed="false" customWidth="true" hidden="false" outlineLevel="0" max="1" min="1" style="0" width="12.14"/>
    <col collapsed="false" customWidth="true" hidden="false" outlineLevel="0" max="2" min="2" style="0" width="36.14"/>
    <col collapsed="false" customWidth="true" hidden="false" outlineLevel="0" max="3" min="3" style="0" width="7"/>
    <col collapsed="false" customWidth="true" hidden="false" outlineLevel="0" max="4" min="4" style="0" width="8.43"/>
    <col collapsed="false" customWidth="true" hidden="false" outlineLevel="0" max="7" min="5" style="0" width="12.14"/>
    <col collapsed="false" customWidth="true" hidden="false" outlineLevel="0" max="8" min="8" style="0" width="9.14"/>
  </cols>
  <sheetData>
    <row r="1" customFormat="false" ht="12.75" hidden="false" customHeight="false" outlineLevel="0" collapsed="false">
      <c r="A1" s="9"/>
      <c r="B1" s="10" t="s">
        <v>424</v>
      </c>
      <c r="C1" s="10"/>
      <c r="D1" s="10"/>
      <c r="E1" s="11"/>
      <c r="F1" s="4"/>
      <c r="G1" s="247" t="s">
        <v>425</v>
      </c>
    </row>
    <row r="2" customFormat="false" ht="12.75" hidden="false" customHeight="false" outlineLevel="0" collapsed="false">
      <c r="A2" s="9"/>
      <c r="B2" s="10"/>
      <c r="C2" s="10"/>
      <c r="D2" s="10"/>
      <c r="E2" s="4"/>
      <c r="F2" s="4"/>
      <c r="G2" s="4"/>
    </row>
    <row r="3" customFormat="false" ht="12.75" hidden="false" customHeight="false" outlineLevel="0" collapsed="false">
      <c r="A3" s="13" t="s">
        <v>25</v>
      </c>
      <c r="B3" s="14" t="s">
        <v>26</v>
      </c>
      <c r="C3" s="14"/>
      <c r="D3" s="14"/>
      <c r="E3" s="16" t="s">
        <v>27</v>
      </c>
      <c r="F3" s="16" t="s">
        <v>3</v>
      </c>
      <c r="G3" s="16" t="s">
        <v>28</v>
      </c>
    </row>
    <row r="4" customFormat="false" ht="12.75" hidden="false" customHeight="false" outlineLevel="0" collapsed="false">
      <c r="A4" s="9"/>
      <c r="B4" s="17" t="s">
        <v>20</v>
      </c>
      <c r="C4" s="248"/>
      <c r="D4" s="23"/>
      <c r="E4" s="20" t="n">
        <f aca="false">SUM(E9:E20)</f>
        <v>110513</v>
      </c>
      <c r="F4" s="21" t="n">
        <f aca="false">SUM(F9:F20)</f>
        <v>0</v>
      </c>
      <c r="G4" s="22" t="n">
        <f aca="false">G20</f>
        <v>110513</v>
      </c>
    </row>
    <row r="5" customFormat="false" ht="12.75" hidden="false" customHeight="false" outlineLevel="0" collapsed="false">
      <c r="A5" s="9"/>
      <c r="B5" s="23" t="s">
        <v>29</v>
      </c>
      <c r="C5" s="23"/>
      <c r="D5" s="23"/>
      <c r="E5" s="24" t="n">
        <f aca="false">G85</f>
        <v>0</v>
      </c>
      <c r="F5" s="4"/>
    </row>
    <row r="6" customFormat="false" ht="12.75" hidden="false" customHeight="false" outlineLevel="0" collapsed="false">
      <c r="A6" s="9"/>
      <c r="B6" s="23" t="s">
        <v>5</v>
      </c>
      <c r="C6" s="23"/>
      <c r="E6" s="25" t="n">
        <f aca="false">G82</f>
        <v>-1200</v>
      </c>
      <c r="F6" s="23"/>
      <c r="G6" s="12"/>
    </row>
    <row r="7" customFormat="false" ht="12.75" hidden="false" customHeight="false" outlineLevel="0" collapsed="false">
      <c r="A7" s="26"/>
      <c r="B7" s="27"/>
      <c r="C7" s="27"/>
      <c r="D7" s="30"/>
      <c r="E7" s="27"/>
      <c r="F7" s="30" t="s">
        <v>30</v>
      </c>
      <c r="G7" s="31" t="n">
        <f aca="false">F4-E5</f>
        <v>0</v>
      </c>
    </row>
    <row r="8" customFormat="false" ht="12.75" hidden="false" customHeight="false" outlineLevel="0" collapsed="false">
      <c r="A8" s="9"/>
      <c r="B8" s="23" t="s">
        <v>31</v>
      </c>
      <c r="C8" s="23"/>
      <c r="F8" s="4"/>
      <c r="G8" s="4"/>
    </row>
    <row r="9" customFormat="false" ht="12.75" hidden="false" customHeight="false" outlineLevel="0" collapsed="false">
      <c r="A9" s="9" t="n">
        <v>45564</v>
      </c>
      <c r="B9" s="29" t="s">
        <v>426</v>
      </c>
      <c r="C9" s="249"/>
      <c r="E9" s="59"/>
      <c r="F9" s="33"/>
      <c r="G9" s="4" t="n">
        <f aca="false">E9-F9</f>
        <v>0</v>
      </c>
    </row>
    <row r="10" customFormat="false" ht="12.75" hidden="false" customHeight="false" outlineLevel="0" collapsed="false">
      <c r="A10" s="77"/>
      <c r="B10" s="60" t="s">
        <v>427</v>
      </c>
      <c r="C10" s="60" t="n">
        <v>12</v>
      </c>
      <c r="D10" s="0" t="n">
        <v>17002</v>
      </c>
      <c r="E10" s="59"/>
      <c r="F10" s="33"/>
      <c r="G10" s="4" t="n">
        <f aca="false">E10-F10+G9</f>
        <v>0</v>
      </c>
    </row>
    <row r="11" customFormat="false" ht="12.75" hidden="false" customHeight="false" outlineLevel="0" collapsed="false">
      <c r="A11" s="77"/>
      <c r="E11" s="59"/>
      <c r="F11" s="33"/>
      <c r="G11" s="4" t="n">
        <f aca="false">E11-F11+G10</f>
        <v>0</v>
      </c>
    </row>
    <row r="12" customFormat="false" ht="12.75" hidden="false" customHeight="false" outlineLevel="0" collapsed="false">
      <c r="A12" s="77"/>
      <c r="B12" s="0" t="s">
        <v>428</v>
      </c>
      <c r="E12" s="59"/>
      <c r="F12" s="33"/>
      <c r="G12" s="4" t="n">
        <f aca="false">E12-F12+G11</f>
        <v>0</v>
      </c>
    </row>
    <row r="13" customFormat="false" ht="12.75" hidden="false" customHeight="false" outlineLevel="0" collapsed="false">
      <c r="A13" s="125"/>
      <c r="B13" s="0" t="s">
        <v>429</v>
      </c>
      <c r="E13" s="59"/>
      <c r="F13" s="33"/>
      <c r="G13" s="4" t="n">
        <f aca="false">E13-F13+G12</f>
        <v>0</v>
      </c>
    </row>
    <row r="14" customFormat="false" ht="12.75" hidden="false" customHeight="false" outlineLevel="0" collapsed="false">
      <c r="A14" s="35"/>
      <c r="C14" s="0" t="s">
        <v>430</v>
      </c>
      <c r="E14" s="36"/>
      <c r="F14" s="37"/>
      <c r="G14" s="4" t="n">
        <f aca="false">E14-F14+G13</f>
        <v>0</v>
      </c>
    </row>
    <row r="15" customFormat="false" ht="12.75" hidden="false" customHeight="false" outlineLevel="0" collapsed="false">
      <c r="A15" s="35"/>
      <c r="B15" s="0" t="s">
        <v>431</v>
      </c>
      <c r="C15" s="0" t="n">
        <v>3.5</v>
      </c>
      <c r="D15" s="0" t="n">
        <v>17002</v>
      </c>
      <c r="E15" s="59" t="n">
        <f aca="false">D15*C15</f>
        <v>59507</v>
      </c>
      <c r="F15" s="37"/>
      <c r="G15" s="4" t="n">
        <f aca="false">E15-F15+G14</f>
        <v>59507</v>
      </c>
    </row>
    <row r="16" customFormat="false" ht="12.75" hidden="false" customHeight="false" outlineLevel="0" collapsed="false">
      <c r="A16" s="35"/>
      <c r="B16" s="0" t="s">
        <v>432</v>
      </c>
      <c r="C16" s="0" t="n">
        <v>3</v>
      </c>
      <c r="D16" s="0" t="n">
        <v>17002</v>
      </c>
      <c r="E16" s="59" t="n">
        <f aca="false">D16*C16</f>
        <v>51006</v>
      </c>
      <c r="F16" s="37"/>
      <c r="G16" s="4" t="n">
        <f aca="false">E16-F16+G15</f>
        <v>110513</v>
      </c>
    </row>
    <row r="17" customFormat="false" ht="12.75" hidden="false" customHeight="false" outlineLevel="0" collapsed="false">
      <c r="A17" s="35"/>
      <c r="E17" s="36"/>
      <c r="F17" s="37"/>
      <c r="G17" s="4" t="n">
        <f aca="false">E17-F17+G16</f>
        <v>110513</v>
      </c>
    </row>
    <row r="18" customFormat="false" ht="13.8" hidden="false" customHeight="false" outlineLevel="0" collapsed="false">
      <c r="A18" s="35"/>
      <c r="B18" s="34" t="n">
        <v>45739</v>
      </c>
      <c r="E18" s="36"/>
      <c r="F18" s="37"/>
      <c r="G18" s="4" t="n">
        <f aca="false">E18-F18+G17</f>
        <v>110513</v>
      </c>
    </row>
    <row r="19" customFormat="false" ht="12.75" hidden="false" customHeight="false" outlineLevel="0" collapsed="false">
      <c r="A19" s="35"/>
      <c r="E19" s="36"/>
      <c r="F19" s="37"/>
      <c r="G19" s="4" t="n">
        <f aca="false">E19-F19+G18</f>
        <v>110513</v>
      </c>
    </row>
    <row r="20" customFormat="false" ht="12.75" hidden="false" customHeight="false" outlineLevel="0" collapsed="false">
      <c r="A20" s="35"/>
      <c r="E20" s="36"/>
      <c r="F20" s="37"/>
      <c r="G20" s="38" t="n">
        <f aca="false">E20-F20+G19</f>
        <v>110513</v>
      </c>
    </row>
    <row r="21" customFormat="false" ht="12.75" hidden="false" customHeight="false" outlineLevel="0" collapsed="false">
      <c r="A21" s="35"/>
      <c r="E21" s="39"/>
      <c r="F21" s="19"/>
      <c r="G21" s="19"/>
    </row>
    <row r="22" customFormat="false" ht="12.75" hidden="false" customHeight="false" outlineLevel="0" collapsed="false">
      <c r="A22" s="35"/>
      <c r="B22" s="0" t="s">
        <v>433</v>
      </c>
      <c r="E22" s="39" t="n">
        <v>96000</v>
      </c>
      <c r="F22" s="19"/>
      <c r="G22" s="4" t="n">
        <v>0</v>
      </c>
    </row>
    <row r="23" customFormat="false" ht="12.75" hidden="false" customHeight="false" outlineLevel="0" collapsed="false">
      <c r="A23" s="35"/>
      <c r="B23" s="0" t="s">
        <v>434</v>
      </c>
      <c r="C23" s="250" t="n">
        <v>63.47</v>
      </c>
      <c r="E23" s="39" t="n">
        <f aca="false">E22*C23/100</f>
        <v>60931.2</v>
      </c>
      <c r="F23" s="19"/>
      <c r="G23" s="4" t="n">
        <v>0</v>
      </c>
    </row>
    <row r="24" customFormat="false" ht="12.75" hidden="false" customHeight="false" outlineLevel="0" collapsed="false">
      <c r="A24" s="35"/>
      <c r="B24" s="29" t="s">
        <v>435</v>
      </c>
      <c r="E24" s="39" t="n">
        <f aca="false">SUM(E22:E23)</f>
        <v>156931.2</v>
      </c>
      <c r="F24" s="19"/>
      <c r="G24" s="4" t="n">
        <v>0</v>
      </c>
    </row>
    <row r="25" customFormat="false" ht="12.75" hidden="false" customHeight="false" outlineLevel="0" collapsed="false">
      <c r="A25" s="35"/>
      <c r="B25" s="0" t="s">
        <v>436</v>
      </c>
      <c r="C25" s="0" t="n">
        <v>12</v>
      </c>
      <c r="E25" s="39" t="n">
        <f aca="false">E24/C25</f>
        <v>13077.6</v>
      </c>
      <c r="F25" s="19"/>
      <c r="G25" s="4" t="n">
        <v>0</v>
      </c>
    </row>
    <row r="26" customFormat="false" ht="12.75" hidden="false" customHeight="false" outlineLevel="0" collapsed="false">
      <c r="A26" s="35"/>
      <c r="B26" s="0" t="s">
        <v>437</v>
      </c>
      <c r="C26" s="0" t="n">
        <v>3.5</v>
      </c>
      <c r="E26" s="39" t="n">
        <f aca="false">E25*C26</f>
        <v>45771.6</v>
      </c>
      <c r="F26" s="19"/>
      <c r="G26" s="4" t="n">
        <f aca="false">E26-F26+G25</f>
        <v>45771.6</v>
      </c>
    </row>
    <row r="27" customFormat="false" ht="12.75" hidden="false" customHeight="false" outlineLevel="0" collapsed="false">
      <c r="A27" s="35"/>
      <c r="E27" s="39"/>
      <c r="F27" s="19"/>
      <c r="G27" s="4" t="n">
        <f aca="false">E27-F27+G26</f>
        <v>45771.6</v>
      </c>
    </row>
    <row r="28" customFormat="false" ht="13.8" hidden="false" customHeight="false" outlineLevel="0" collapsed="false">
      <c r="A28" s="35"/>
      <c r="B28" s="34" t="n">
        <v>46079</v>
      </c>
      <c r="E28" s="39"/>
      <c r="F28" s="19"/>
      <c r="G28" s="4" t="n">
        <f aca="false">E28-F28+G27</f>
        <v>45771.6</v>
      </c>
    </row>
    <row r="29" customFormat="false" ht="12.75" hidden="false" customHeight="false" outlineLevel="0" collapsed="false">
      <c r="A29" s="35"/>
      <c r="E29" s="39"/>
      <c r="F29" s="19"/>
      <c r="G29" s="19"/>
    </row>
    <row r="30" customFormat="false" ht="12.75" hidden="false" customHeight="false" outlineLevel="0" collapsed="false">
      <c r="A30" s="35"/>
      <c r="E30" s="39"/>
      <c r="F30" s="19"/>
      <c r="G30" s="19"/>
    </row>
    <row r="31" customFormat="false" ht="12.75" hidden="false" customHeight="false" outlineLevel="0" collapsed="false">
      <c r="A31" s="35"/>
      <c r="E31" s="39"/>
      <c r="F31" s="19"/>
      <c r="G31" s="19"/>
    </row>
    <row r="32" customFormat="false" ht="12.75" hidden="false" customHeight="false" outlineLevel="0" collapsed="false">
      <c r="A32" s="35"/>
      <c r="E32" s="39"/>
      <c r="F32" s="19"/>
      <c r="G32" s="19"/>
    </row>
    <row r="33" customFormat="false" ht="12.75" hidden="false" customHeight="false" outlineLevel="0" collapsed="false">
      <c r="A33" s="35"/>
      <c r="E33" s="39"/>
      <c r="F33" s="19"/>
      <c r="G33" s="19"/>
    </row>
    <row r="34" customFormat="false" ht="12.75" hidden="false" customHeight="false" outlineLevel="0" collapsed="false">
      <c r="A34" s="35"/>
      <c r="E34" s="39"/>
      <c r="F34" s="19"/>
      <c r="G34" s="19"/>
    </row>
    <row r="35" customFormat="false" ht="12.75" hidden="false" customHeight="false" outlineLevel="0" collapsed="false">
      <c r="A35" s="35"/>
      <c r="E35" s="39"/>
      <c r="F35" s="19"/>
      <c r="G35" s="19"/>
    </row>
    <row r="36" customFormat="false" ht="12.75" hidden="false" customHeight="false" outlineLevel="0" collapsed="false">
      <c r="A36" s="35"/>
      <c r="E36" s="39"/>
      <c r="F36" s="19"/>
      <c r="G36" s="19"/>
    </row>
    <row r="37" customFormat="false" ht="12.75" hidden="false" customHeight="false" outlineLevel="0" collapsed="false">
      <c r="A37" s="35"/>
      <c r="E37" s="39"/>
      <c r="F37" s="19"/>
      <c r="G37" s="19"/>
    </row>
    <row r="38" customFormat="false" ht="12.75" hidden="false" customHeight="false" outlineLevel="0" collapsed="false">
      <c r="A38" s="35"/>
      <c r="E38" s="39"/>
      <c r="F38" s="19"/>
      <c r="G38" s="19"/>
    </row>
    <row r="39" customFormat="false" ht="12.75" hidden="false" customHeight="false" outlineLevel="0" collapsed="false">
      <c r="A39" s="35"/>
      <c r="E39" s="39"/>
      <c r="F39" s="19"/>
      <c r="G39" s="19"/>
    </row>
    <row r="40" customFormat="false" ht="12.75" hidden="false" customHeight="false" outlineLevel="0" collapsed="false">
      <c r="A40" s="40" t="s">
        <v>36</v>
      </c>
      <c r="B40" s="27" t="s">
        <v>117</v>
      </c>
      <c r="C40" s="27"/>
      <c r="D40" s="27" t="s">
        <v>118</v>
      </c>
      <c r="E40" s="41" t="s">
        <v>39</v>
      </c>
      <c r="F40" s="28"/>
      <c r="G40" s="19"/>
    </row>
    <row r="41" customFormat="false" ht="12.75" hidden="false" customHeight="false" outlineLevel="0" collapsed="false">
      <c r="A41" s="35"/>
      <c r="B41" s="0" t="s">
        <v>41</v>
      </c>
      <c r="E41" s="39"/>
      <c r="F41" s="19"/>
      <c r="G41" s="19"/>
    </row>
    <row r="42" customFormat="false" ht="12.75" hidden="false" customHeight="false" outlineLevel="0" collapsed="false">
      <c r="A42" s="35"/>
      <c r="B42" s="0" t="s">
        <v>119</v>
      </c>
      <c r="D42" s="0" t="n">
        <v>40</v>
      </c>
      <c r="E42" s="19" t="n">
        <v>483.72</v>
      </c>
      <c r="F42" s="19" t="n">
        <v>483.72</v>
      </c>
      <c r="G42" s="19"/>
      <c r="H42" s="4"/>
    </row>
    <row r="43" customFormat="false" ht="12.75" hidden="false" customHeight="false" outlineLevel="0" collapsed="false">
      <c r="A43" s="35"/>
      <c r="B43" s="0" t="s">
        <v>120</v>
      </c>
      <c r="E43" s="19" t="n">
        <v>439.85</v>
      </c>
      <c r="F43" s="19" t="n">
        <v>439.85</v>
      </c>
      <c r="G43" s="19"/>
      <c r="H43" s="4"/>
    </row>
    <row r="44" customFormat="false" ht="12.75" hidden="false" customHeight="false" outlineLevel="0" collapsed="false">
      <c r="A44" s="35"/>
      <c r="B44" s="0" t="s">
        <v>121</v>
      </c>
      <c r="E44" s="19"/>
      <c r="F44" s="19"/>
      <c r="G44" s="19"/>
      <c r="H44" s="4"/>
    </row>
    <row r="45" customFormat="false" ht="12.75" hidden="false" customHeight="false" outlineLevel="0" collapsed="false">
      <c r="A45" s="35"/>
      <c r="B45" s="0" t="s">
        <v>122</v>
      </c>
      <c r="E45" s="19"/>
      <c r="F45" s="19"/>
      <c r="G45" s="19"/>
      <c r="H45" s="4"/>
    </row>
    <row r="46" customFormat="false" ht="12.75" hidden="false" customHeight="false" outlineLevel="0" collapsed="false">
      <c r="A46" s="35"/>
      <c r="B46" s="0" t="s">
        <v>123</v>
      </c>
      <c r="E46" s="19"/>
      <c r="F46" s="19"/>
      <c r="G46" s="19"/>
      <c r="H46" s="4"/>
    </row>
    <row r="47" customFormat="false" ht="12.75" hidden="false" customHeight="false" outlineLevel="0" collapsed="false">
      <c r="A47" s="35"/>
      <c r="B47" s="0" t="s">
        <v>124</v>
      </c>
      <c r="E47" s="19"/>
      <c r="F47" s="19"/>
      <c r="G47" s="19"/>
      <c r="H47" s="4"/>
    </row>
    <row r="48" customFormat="false" ht="12.75" hidden="false" customHeight="false" outlineLevel="0" collapsed="false">
      <c r="A48" s="35"/>
      <c r="B48" s="0" t="s">
        <v>125</v>
      </c>
      <c r="E48" s="19"/>
      <c r="F48" s="19"/>
      <c r="G48" s="19"/>
      <c r="H48" s="4"/>
    </row>
    <row r="49" customFormat="false" ht="12.75" hidden="false" customHeight="false" outlineLevel="0" collapsed="false">
      <c r="A49" s="35"/>
      <c r="B49" s="0" t="s">
        <v>126</v>
      </c>
      <c r="E49" s="19"/>
      <c r="F49" s="19"/>
      <c r="G49" s="19"/>
      <c r="H49" s="4"/>
    </row>
    <row r="50" customFormat="false" ht="12.75" hidden="false" customHeight="false" outlineLevel="0" collapsed="false">
      <c r="A50" s="35"/>
      <c r="B50" s="0" t="s">
        <v>127</v>
      </c>
      <c r="E50" s="39"/>
      <c r="F50" s="19"/>
      <c r="G50" s="19"/>
      <c r="H50" s="4"/>
    </row>
    <row r="51" customFormat="false" ht="12.75" hidden="false" customHeight="false" outlineLevel="0" collapsed="false">
      <c r="A51" s="35"/>
      <c r="B51" s="0" t="s">
        <v>128</v>
      </c>
      <c r="E51" s="39"/>
      <c r="F51" s="19"/>
      <c r="G51" s="19"/>
      <c r="H51" s="4"/>
    </row>
    <row r="52" customFormat="false" ht="12.75" hidden="false" customHeight="false" outlineLevel="0" collapsed="false">
      <c r="A52" s="35"/>
      <c r="B52" s="0" t="s">
        <v>129</v>
      </c>
      <c r="E52" s="39"/>
      <c r="F52" s="19"/>
      <c r="G52" s="19"/>
      <c r="H52" s="4"/>
    </row>
    <row r="53" customFormat="false" ht="12.75" hidden="false" customHeight="false" outlineLevel="0" collapsed="false">
      <c r="A53" s="40"/>
      <c r="B53" s="27" t="s">
        <v>130</v>
      </c>
      <c r="C53" s="27"/>
      <c r="D53" s="27"/>
      <c r="E53" s="41"/>
      <c r="F53" s="28"/>
      <c r="G53" s="19"/>
    </row>
    <row r="54" customFormat="false" ht="12.75" hidden="false" customHeight="false" outlineLevel="0" collapsed="false">
      <c r="A54" s="42" t="n">
        <v>45291</v>
      </c>
      <c r="B54" s="43" t="s">
        <v>41</v>
      </c>
      <c r="C54" s="43"/>
      <c r="D54" s="43" t="n">
        <f aca="false">SUM(D42:D53)</f>
        <v>40</v>
      </c>
      <c r="E54" s="45"/>
      <c r="F54" s="46"/>
      <c r="G54" s="19"/>
    </row>
    <row r="55" customFormat="false" ht="12.75" hidden="false" customHeight="false" outlineLevel="0" collapsed="false">
      <c r="A55" s="35"/>
      <c r="E55" s="39"/>
      <c r="F55" s="39"/>
      <c r="G55" s="19"/>
    </row>
    <row r="56" customFormat="false" ht="12.75" hidden="false" customHeight="false" outlineLevel="0" collapsed="false">
      <c r="A56" s="9"/>
      <c r="E56" s="4"/>
      <c r="F56" s="4"/>
      <c r="G56" s="19"/>
    </row>
    <row r="57" customFormat="false" ht="12.75" hidden="false" customHeight="false" outlineLevel="0" collapsed="false">
      <c r="A57" s="48" t="s">
        <v>438</v>
      </c>
      <c r="B57" s="49" t="s">
        <v>58</v>
      </c>
      <c r="C57" s="49"/>
      <c r="D57" s="49"/>
      <c r="E57" s="68"/>
      <c r="F57" s="29"/>
      <c r="G57" s="19"/>
    </row>
    <row r="58" customFormat="false" ht="12.75" hidden="false" customHeight="false" outlineLevel="0" collapsed="false">
      <c r="A58" s="9"/>
      <c r="B58" s="10"/>
      <c r="C58" s="10"/>
      <c r="D58" s="10"/>
      <c r="G58" s="19"/>
    </row>
    <row r="59" customFormat="false" ht="12.75" hidden="false" customHeight="false" outlineLevel="0" collapsed="false">
      <c r="A59" s="9"/>
      <c r="B59" s="0" t="s">
        <v>439</v>
      </c>
      <c r="E59" s="4"/>
      <c r="F59" s="4"/>
      <c r="G59" s="19"/>
    </row>
    <row r="60" customFormat="false" ht="12.75" hidden="false" customHeight="false" outlineLevel="0" collapsed="false">
      <c r="A60" s="9"/>
      <c r="B60" s="0" t="s">
        <v>151</v>
      </c>
      <c r="D60" s="4"/>
      <c r="E60" s="4"/>
      <c r="F60" s="4"/>
      <c r="G60" s="19"/>
    </row>
    <row r="61" customFormat="false" ht="12.75" hidden="false" customHeight="false" outlineLevel="0" collapsed="false">
      <c r="A61" s="9"/>
      <c r="B61" s="29" t="s">
        <v>440</v>
      </c>
      <c r="C61" s="29"/>
      <c r="D61" s="29"/>
      <c r="E61" s="29" t="n">
        <v>96000</v>
      </c>
      <c r="F61" s="4"/>
      <c r="G61" s="19"/>
    </row>
    <row r="62" customFormat="false" ht="12.75" hidden="false" customHeight="false" outlineLevel="0" collapsed="false">
      <c r="A62" s="251" t="n">
        <v>45237</v>
      </c>
      <c r="B62" s="2" t="s">
        <v>441</v>
      </c>
      <c r="C62" s="2"/>
      <c r="F62" s="4"/>
      <c r="G62" s="19"/>
    </row>
    <row r="63" customFormat="false" ht="12.75" hidden="false" customHeight="false" outlineLevel="0" collapsed="false">
      <c r="B63" s="2" t="s">
        <v>442</v>
      </c>
      <c r="C63" s="2"/>
      <c r="F63" s="4"/>
      <c r="G63" s="19"/>
    </row>
    <row r="64" customFormat="false" ht="12.75" hidden="false" customHeight="false" outlineLevel="0" collapsed="false">
      <c r="B64" s="2" t="s">
        <v>443</v>
      </c>
      <c r="C64" s="2"/>
      <c r="F64" s="4"/>
      <c r="G64" s="19"/>
    </row>
    <row r="65" customFormat="false" ht="12.75" hidden="false" customHeight="false" outlineLevel="0" collapsed="false">
      <c r="B65" s="2" t="s">
        <v>444</v>
      </c>
      <c r="C65" s="2"/>
      <c r="F65" s="4"/>
      <c r="G65" s="19"/>
    </row>
    <row r="66" customFormat="false" ht="12.75" hidden="false" customHeight="false" outlineLevel="0" collapsed="false">
      <c r="B66" s="2" t="s">
        <v>445</v>
      </c>
      <c r="C66" s="2"/>
      <c r="F66" s="4"/>
      <c r="G66" s="19"/>
    </row>
    <row r="67" customFormat="false" ht="12.75" hidden="false" customHeight="false" outlineLevel="0" collapsed="false">
      <c r="B67" s="2" t="s">
        <v>446</v>
      </c>
      <c r="C67" s="2"/>
      <c r="F67" s="4"/>
      <c r="G67" s="19"/>
    </row>
    <row r="68" customFormat="false" ht="12.75" hidden="false" customHeight="false" outlineLevel="0" collapsed="false">
      <c r="B68" s="2" t="s">
        <v>447</v>
      </c>
      <c r="C68" s="2"/>
      <c r="F68" s="4"/>
      <c r="G68" s="28" t="s">
        <v>448</v>
      </c>
    </row>
    <row r="69" customFormat="false" ht="12.75" hidden="false" customHeight="false" outlineLevel="0" collapsed="false">
      <c r="B69" s="2" t="s">
        <v>449</v>
      </c>
      <c r="C69" s="2"/>
      <c r="F69" s="4"/>
      <c r="G69" s="19" t="n">
        <v>-1200</v>
      </c>
    </row>
    <row r="70" customFormat="false" ht="12.75" hidden="false" customHeight="false" outlineLevel="0" collapsed="false">
      <c r="G70" s="19" t="n">
        <f aca="false">E42-F42+G69</f>
        <v>-1200</v>
      </c>
    </row>
    <row r="71" customFormat="false" ht="12.75" hidden="false" customHeight="false" outlineLevel="0" collapsed="false">
      <c r="G71" s="19" t="n">
        <f aca="false">E43-F43+G70</f>
        <v>-1200</v>
      </c>
    </row>
    <row r="72" customFormat="false" ht="12.75" hidden="false" customHeight="false" outlineLevel="0" collapsed="false">
      <c r="G72" s="19" t="n">
        <f aca="false">E44-F44+G71</f>
        <v>-1200</v>
      </c>
    </row>
    <row r="73" customFormat="false" ht="12.75" hidden="false" customHeight="false" outlineLevel="0" collapsed="false">
      <c r="B73" s="0" t="s">
        <v>450</v>
      </c>
      <c r="D73" s="4"/>
      <c r="E73" s="4"/>
      <c r="F73" s="4"/>
      <c r="G73" s="19" t="n">
        <f aca="false">E45-F45+G72</f>
        <v>-1200</v>
      </c>
    </row>
    <row r="74" customFormat="false" ht="12.75" hidden="false" customHeight="false" outlineLevel="0" collapsed="false">
      <c r="B74" s="0" t="s">
        <v>451</v>
      </c>
      <c r="D74" s="4"/>
      <c r="E74" s="4"/>
      <c r="F74" s="4" t="n">
        <f aca="false">F73+D74-E74</f>
        <v>0</v>
      </c>
      <c r="G74" s="19" t="n">
        <f aca="false">E46-F46+G73</f>
        <v>-1200</v>
      </c>
    </row>
    <row r="75" customFormat="false" ht="12.75" hidden="false" customHeight="false" outlineLevel="0" collapsed="false">
      <c r="A75" s="77"/>
      <c r="D75" s="4"/>
      <c r="F75" s="4" t="n">
        <f aca="false">F74+D75-E75</f>
        <v>0</v>
      </c>
      <c r="G75" s="19" t="n">
        <f aca="false">E47-F47+G74</f>
        <v>-1200</v>
      </c>
    </row>
    <row r="76" customFormat="false" ht="12.75" hidden="false" customHeight="false" outlineLevel="0" collapsed="false">
      <c r="A76" s="77" t="n">
        <v>44956</v>
      </c>
      <c r="B76" s="0" t="s">
        <v>452</v>
      </c>
      <c r="D76" s="4" t="n">
        <v>1000</v>
      </c>
      <c r="F76" s="4" t="n">
        <f aca="false">F75+D76-E76</f>
        <v>1000</v>
      </c>
      <c r="G76" s="19" t="n">
        <f aca="false">E48-F48+G75</f>
        <v>-1200</v>
      </c>
    </row>
    <row r="77" customFormat="false" ht="12.75" hidden="false" customHeight="false" outlineLevel="0" collapsed="false">
      <c r="A77" s="77" t="n">
        <v>44985</v>
      </c>
      <c r="B77" s="0" t="s">
        <v>453</v>
      </c>
      <c r="D77" s="4" t="n">
        <v>1000</v>
      </c>
      <c r="F77" s="4" t="n">
        <f aca="false">F76+D77-E77</f>
        <v>2000</v>
      </c>
      <c r="G77" s="19" t="n">
        <f aca="false">E49-F49+G76</f>
        <v>-1200</v>
      </c>
    </row>
    <row r="78" customFormat="false" ht="12.75" hidden="false" customHeight="false" outlineLevel="0" collapsed="false">
      <c r="A78" s="77" t="n">
        <v>45015</v>
      </c>
      <c r="B78" s="0" t="s">
        <v>454</v>
      </c>
      <c r="D78" s="4" t="n">
        <v>1000</v>
      </c>
      <c r="E78" s="4"/>
      <c r="F78" s="4" t="n">
        <f aca="false">F77+D78-E78</f>
        <v>3000</v>
      </c>
      <c r="G78" s="19" t="n">
        <f aca="false">E50-F50+G77</f>
        <v>-1200</v>
      </c>
    </row>
    <row r="79" customFormat="false" ht="12.75" hidden="false" customHeight="false" outlineLevel="0" collapsed="false">
      <c r="A79" s="77" t="n">
        <v>45046</v>
      </c>
      <c r="B79" s="0" t="s">
        <v>455</v>
      </c>
      <c r="D79" s="4" t="n">
        <v>1000</v>
      </c>
      <c r="E79" s="4"/>
      <c r="F79" s="4" t="n">
        <f aca="false">F78+D79-E79</f>
        <v>4000</v>
      </c>
      <c r="G79" s="19" t="n">
        <f aca="false">E51-F51+G78</f>
        <v>-1200</v>
      </c>
    </row>
    <row r="80" customFormat="false" ht="12.75" hidden="false" customHeight="false" outlineLevel="0" collapsed="false">
      <c r="A80" s="77"/>
      <c r="F80" s="4" t="n">
        <f aca="false">F79+D80-E80</f>
        <v>4000</v>
      </c>
      <c r="G80" s="19" t="n">
        <f aca="false">E52-F52+G79</f>
        <v>-1200</v>
      </c>
    </row>
    <row r="81" customFormat="false" ht="12.75" hidden="false" customHeight="false" outlineLevel="0" collapsed="false">
      <c r="A81" s="77"/>
      <c r="B81" s="2" t="s">
        <v>456</v>
      </c>
      <c r="C81" s="2"/>
      <c r="D81" s="4" t="n">
        <v>400</v>
      </c>
      <c r="F81" s="4" t="n">
        <f aca="false">F80+D81-E81</f>
        <v>4400</v>
      </c>
      <c r="G81" s="28" t="n">
        <f aca="false">E53-F53+G80</f>
        <v>-1200</v>
      </c>
    </row>
    <row r="82" customFormat="false" ht="12.75" hidden="false" customHeight="false" outlineLevel="0" collapsed="false">
      <c r="A82" s="77"/>
      <c r="B82" s="0" t="s">
        <v>457</v>
      </c>
      <c r="D82" s="4"/>
      <c r="E82" s="4"/>
      <c r="F82" s="4" t="n">
        <f aca="false">F81+D82-E82</f>
        <v>4400</v>
      </c>
      <c r="G82" s="47" t="n">
        <f aca="false">E54-F54+G81</f>
        <v>-1200</v>
      </c>
    </row>
    <row r="83" customFormat="false" ht="12.75" hidden="false" customHeight="false" outlineLevel="0" collapsed="false">
      <c r="A83" s="77"/>
      <c r="B83" s="0" t="s">
        <v>458</v>
      </c>
      <c r="D83" s="4"/>
      <c r="E83" s="4"/>
      <c r="F83" s="4" t="n">
        <f aca="false">F82+D83-E83</f>
        <v>4400</v>
      </c>
      <c r="G83" s="39"/>
    </row>
    <row r="84" customFormat="false" ht="12.75" hidden="false" customHeight="false" outlineLevel="0" collapsed="false">
      <c r="A84" s="77"/>
      <c r="D84" s="4"/>
      <c r="F84" s="4" t="n">
        <f aca="false">F83+D84-E84</f>
        <v>4400</v>
      </c>
      <c r="G84" s="4"/>
    </row>
    <row r="85" customFormat="false" ht="12.75" hidden="false" customHeight="false" outlineLevel="0" collapsed="false">
      <c r="A85" s="77" t="n">
        <v>44998</v>
      </c>
      <c r="B85" s="0" t="s">
        <v>459</v>
      </c>
      <c r="D85" s="4"/>
      <c r="E85" s="0" t="n">
        <v>2400</v>
      </c>
      <c r="F85" s="4" t="n">
        <f aca="false">F84+D85-E85</f>
        <v>2000</v>
      </c>
      <c r="G85" s="52" t="n">
        <f aca="false">SUM(F58:F72)</f>
        <v>0</v>
      </c>
    </row>
    <row r="86" customFormat="false" ht="12.75" hidden="false" customHeight="false" outlineLevel="0" collapsed="false">
      <c r="A86" s="77" t="n">
        <v>44998</v>
      </c>
      <c r="B86" s="0" t="s">
        <v>459</v>
      </c>
      <c r="E86" s="0" t="n">
        <v>2400</v>
      </c>
      <c r="F86" s="4" t="n">
        <f aca="false">F85+D86-E86</f>
        <v>-400</v>
      </c>
    </row>
    <row r="87" customFormat="false" ht="12.75" hidden="false" customHeight="false" outlineLevel="0" collapsed="false">
      <c r="B87" s="2" t="s">
        <v>460</v>
      </c>
      <c r="C87" s="2"/>
      <c r="E87" s="0" t="n">
        <v>-342.4</v>
      </c>
      <c r="F87" s="4" t="n">
        <f aca="false">F86+D87-E87</f>
        <v>-57.6</v>
      </c>
      <c r="G87" s="4"/>
    </row>
    <row r="88" customFormat="false" ht="12.75" hidden="false" customHeight="false" outlineLevel="0" collapsed="false">
      <c r="B88" s="2" t="s">
        <v>461</v>
      </c>
      <c r="C88" s="2"/>
      <c r="E88" s="0" t="n">
        <v>-57.6</v>
      </c>
      <c r="F88" s="4" t="n">
        <f aca="false">F87+D88-E88</f>
        <v>0</v>
      </c>
      <c r="G88" s="4"/>
    </row>
    <row r="89" customFormat="false" ht="12.75" hidden="false" customHeight="false" outlineLevel="0" collapsed="false">
      <c r="G89" s="53"/>
    </row>
    <row r="90" customFormat="false" ht="12.75" hidden="false" customHeight="false" outlineLevel="0" collapsed="false">
      <c r="G90" s="4"/>
    </row>
    <row r="91" customFormat="false" ht="12.75" hidden="false" customHeight="false" outlineLevel="0" collapsed="false">
      <c r="G91" s="4"/>
    </row>
    <row r="92" customFormat="false" ht="12.75" hidden="false" customHeight="false" outlineLevel="0" collapsed="false">
      <c r="G92" s="4"/>
    </row>
    <row r="93" customFormat="false" ht="12.75" hidden="false" customHeight="false" outlineLevel="0" collapsed="false">
      <c r="G93" s="4"/>
    </row>
    <row r="94" customFormat="false" ht="12.75" hidden="false" customHeight="false" outlineLevel="0" collapsed="false">
      <c r="G94" s="4"/>
    </row>
    <row r="95" customFormat="false" ht="12.75" hidden="false" customHeight="false" outlineLevel="0" collapsed="false">
      <c r="G95" s="4"/>
    </row>
    <row r="96" customFormat="false" ht="12.75" hidden="false" customHeight="false" outlineLevel="0" collapsed="false">
      <c r="G96" s="4"/>
    </row>
    <row r="97" customFormat="false" ht="12.75" hidden="false" customHeight="false" outlineLevel="0" collapsed="false">
      <c r="G97" s="4"/>
    </row>
  </sheetData>
  <printOptions headings="false" gridLines="false" gridLinesSet="true" horizontalCentered="false" verticalCentered="false"/>
  <pageMargins left="0.39375" right="0.236111111111111" top="0.709027777777778" bottom="0.70625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3" colorId="64" zoomScale="140" zoomScaleNormal="140" zoomScalePageLayoutView="100" workbookViewId="0">
      <selection pane="topLeft" activeCell="F23" activeCellId="1" sqref="F84:F86 F23"/>
    </sheetView>
  </sheetViews>
  <sheetFormatPr defaultColWidth="8.66015625" defaultRowHeight="12.75" customHeight="false" zeroHeight="false" outlineLevelRow="0" outlineLevelCol="0"/>
  <cols>
    <col collapsed="false" customWidth="true" hidden="false" outlineLevel="0" max="1" min="1" style="0" width="10.71"/>
    <col collapsed="false" customWidth="true" hidden="false" outlineLevel="0" max="2" min="2" style="0" width="23.71"/>
    <col collapsed="false" customWidth="true" hidden="false" outlineLevel="0" max="3" min="3" style="4" width="11.71"/>
    <col collapsed="false" customWidth="true" hidden="false" outlineLevel="0" max="4" min="4" style="4" width="10.57"/>
    <col collapsed="false" customWidth="true" hidden="false" outlineLevel="0" max="5" min="5" style="4" width="9.43"/>
    <col collapsed="false" customWidth="true" hidden="false" outlineLevel="0" max="6" min="6" style="4" width="10.57"/>
    <col collapsed="false" customWidth="true" hidden="false" outlineLevel="0" max="7" min="7" style="4" width="11.29"/>
    <col collapsed="false" customWidth="true" hidden="false" outlineLevel="0" max="59" min="8" style="0" width="12.14"/>
    <col collapsed="false" customWidth="true" hidden="false" outlineLevel="0" max="60" min="60" style="0" width="9.14"/>
  </cols>
  <sheetData>
    <row r="1" customFormat="false" ht="12.75" hidden="false" customHeight="false" outlineLevel="0" collapsed="false">
      <c r="B1" s="2"/>
    </row>
    <row r="2" customFormat="false" ht="17.35" hidden="false" customHeight="false" outlineLevel="0" collapsed="false">
      <c r="A2" s="252" t="n">
        <v>2023</v>
      </c>
      <c r="B2" s="2" t="s">
        <v>462</v>
      </c>
      <c r="D2" s="4" t="s">
        <v>463</v>
      </c>
      <c r="F2" s="72" t="n">
        <f aca="false">SUM(F6:F55)</f>
        <v>3999.1</v>
      </c>
      <c r="G2" s="72" t="n">
        <f aca="false">F2</f>
        <v>3999.1</v>
      </c>
    </row>
    <row r="4" customFormat="false" ht="12.75" hidden="false" customHeight="false" outlineLevel="0" collapsed="false">
      <c r="A4" s="188" t="s">
        <v>25</v>
      </c>
      <c r="B4" s="188" t="s">
        <v>26</v>
      </c>
      <c r="C4" s="253" t="s">
        <v>27</v>
      </c>
      <c r="D4" s="253" t="s">
        <v>3</v>
      </c>
      <c r="E4" s="253" t="s">
        <v>28</v>
      </c>
      <c r="F4" s="253" t="s">
        <v>29</v>
      </c>
      <c r="G4" s="253" t="s">
        <v>28</v>
      </c>
    </row>
    <row r="5" customFormat="false" ht="12.75" hidden="false" customHeight="false" outlineLevel="0" collapsed="false">
      <c r="F5" s="247"/>
      <c r="G5" s="72"/>
    </row>
    <row r="6" customFormat="false" ht="12.75" hidden="false" customHeight="false" outlineLevel="0" collapsed="false">
      <c r="A6" s="77" t="n">
        <v>45321</v>
      </c>
      <c r="B6" s="0" t="s">
        <v>464</v>
      </c>
      <c r="F6" s="4" t="n">
        <v>169.14</v>
      </c>
      <c r="G6" s="4" t="n">
        <f aca="false">G5+E6-F6</f>
        <v>-169.14</v>
      </c>
    </row>
    <row r="7" customFormat="false" ht="12.75" hidden="false" customHeight="false" outlineLevel="0" collapsed="false">
      <c r="A7" s="77" t="n">
        <v>45350</v>
      </c>
      <c r="B7" s="0" t="s">
        <v>465</v>
      </c>
      <c r="F7" s="4" t="n">
        <v>67.09</v>
      </c>
      <c r="G7" s="4" t="n">
        <f aca="false">G6+E7-F7</f>
        <v>-236.23</v>
      </c>
    </row>
    <row r="8" customFormat="false" ht="12.75" hidden="false" customHeight="false" outlineLevel="0" collapsed="false">
      <c r="A8" s="77" t="n">
        <v>45381</v>
      </c>
      <c r="B8" s="0" t="s">
        <v>466</v>
      </c>
      <c r="F8" s="4" t="n">
        <v>225.66</v>
      </c>
      <c r="G8" s="4" t="n">
        <f aca="false">G7+E8-F8</f>
        <v>-461.89</v>
      </c>
    </row>
    <row r="9" customFormat="false" ht="12.75" hidden="false" customHeight="false" outlineLevel="0" collapsed="false">
      <c r="A9" s="77" t="n">
        <v>45412</v>
      </c>
      <c r="B9" s="0" t="s">
        <v>467</v>
      </c>
      <c r="F9" s="4" t="n">
        <v>286.72</v>
      </c>
      <c r="G9" s="4" t="n">
        <f aca="false">G8+E9-F9</f>
        <v>-748.61</v>
      </c>
    </row>
    <row r="10" customFormat="false" ht="12.75" hidden="false" customHeight="false" outlineLevel="0" collapsed="false">
      <c r="A10" s="77" t="n">
        <v>45442</v>
      </c>
      <c r="B10" s="0" t="s">
        <v>468</v>
      </c>
      <c r="F10" s="4" t="n">
        <v>100</v>
      </c>
      <c r="G10" s="4" t="n">
        <f aca="false">G9+E10-F10</f>
        <v>-848.61</v>
      </c>
    </row>
    <row r="11" customFormat="false" ht="12.75" hidden="false" customHeight="false" outlineLevel="0" collapsed="false">
      <c r="A11" s="254" t="n">
        <v>45426</v>
      </c>
      <c r="B11" s="2" t="s">
        <v>469</v>
      </c>
      <c r="F11" s="4" t="n">
        <v>1415</v>
      </c>
      <c r="G11" s="4" t="n">
        <f aca="false">G10+E11-F11</f>
        <v>-2263.61</v>
      </c>
    </row>
    <row r="12" customFormat="false" ht="12.75" hidden="false" customHeight="false" outlineLevel="0" collapsed="false">
      <c r="A12" s="254" t="n">
        <v>45426</v>
      </c>
      <c r="B12" s="2" t="s">
        <v>470</v>
      </c>
      <c r="F12" s="4" t="n">
        <v>141.5</v>
      </c>
      <c r="G12" s="4" t="n">
        <f aca="false">G11+E12-F12</f>
        <v>-2405.11</v>
      </c>
    </row>
    <row r="13" customFormat="false" ht="12.75" hidden="false" customHeight="false" outlineLevel="0" collapsed="false">
      <c r="A13" s="77" t="n">
        <v>45473</v>
      </c>
      <c r="B13" s="0" t="s">
        <v>471</v>
      </c>
      <c r="F13" s="4" t="n">
        <v>37.49</v>
      </c>
      <c r="G13" s="4" t="n">
        <f aca="false">G12+E13-F13</f>
        <v>-2442.6</v>
      </c>
    </row>
    <row r="14" customFormat="false" ht="12.75" hidden="false" customHeight="false" outlineLevel="0" collapsed="false">
      <c r="A14" s="77" t="n">
        <v>45503</v>
      </c>
      <c r="B14" s="0" t="s">
        <v>472</v>
      </c>
      <c r="G14" s="4" t="n">
        <f aca="false">G13+E14-F14</f>
        <v>-2442.6</v>
      </c>
    </row>
    <row r="15" customFormat="false" ht="12.75" hidden="false" customHeight="false" outlineLevel="0" collapsed="false">
      <c r="A15" s="77" t="n">
        <v>45534</v>
      </c>
      <c r="B15" s="0" t="s">
        <v>473</v>
      </c>
      <c r="G15" s="4" t="n">
        <f aca="false">G14+E15-F15</f>
        <v>-2442.6</v>
      </c>
    </row>
    <row r="16" customFormat="false" ht="12.75" hidden="false" customHeight="false" outlineLevel="0" collapsed="false">
      <c r="A16" s="77" t="n">
        <v>45565</v>
      </c>
      <c r="B16" s="0" t="s">
        <v>474</v>
      </c>
      <c r="G16" s="4" t="n">
        <f aca="false">G15+E16-F16</f>
        <v>-2442.6</v>
      </c>
    </row>
    <row r="17" customFormat="false" ht="12.75" hidden="false" customHeight="false" outlineLevel="0" collapsed="false">
      <c r="A17" s="77" t="n">
        <v>45595</v>
      </c>
      <c r="B17" s="0" t="s">
        <v>475</v>
      </c>
      <c r="G17" s="4" t="n">
        <f aca="false">G16+E17-F17</f>
        <v>-2442.6</v>
      </c>
    </row>
    <row r="18" customFormat="false" ht="12.75" hidden="false" customHeight="false" outlineLevel="0" collapsed="false">
      <c r="A18" s="254" t="n">
        <v>45579</v>
      </c>
      <c r="B18" s="2" t="s">
        <v>476</v>
      </c>
      <c r="F18" s="4" t="n">
        <v>1415</v>
      </c>
      <c r="G18" s="4" t="n">
        <f aca="false">G17+E18-F18</f>
        <v>-3857.6</v>
      </c>
    </row>
    <row r="19" customFormat="false" ht="12.75" hidden="false" customHeight="false" outlineLevel="0" collapsed="false">
      <c r="A19" s="254" t="n">
        <v>45579</v>
      </c>
      <c r="B19" s="2" t="s">
        <v>477</v>
      </c>
      <c r="F19" s="4" t="n">
        <v>141.5</v>
      </c>
      <c r="G19" s="4" t="n">
        <f aca="false">G18+E19-F19</f>
        <v>-3999.1</v>
      </c>
    </row>
    <row r="20" customFormat="false" ht="12.75" hidden="false" customHeight="false" outlineLevel="0" collapsed="false">
      <c r="A20" s="77" t="n">
        <v>45626</v>
      </c>
      <c r="B20" s="0" t="s">
        <v>478</v>
      </c>
      <c r="G20" s="4" t="n">
        <f aca="false">G19+E20-F20</f>
        <v>-3999.1</v>
      </c>
    </row>
    <row r="21" customFormat="false" ht="12.75" hidden="false" customHeight="false" outlineLevel="0" collapsed="false">
      <c r="A21" s="77" t="n">
        <v>45656</v>
      </c>
      <c r="B21" s="0" t="s">
        <v>479</v>
      </c>
      <c r="G21" s="4" t="n">
        <f aca="false">G20+E21-F21</f>
        <v>-3999.1</v>
      </c>
    </row>
    <row r="22" customFormat="false" ht="12.75" hidden="false" customHeight="false" outlineLevel="0" collapsed="false">
      <c r="B22" s="0" t="s">
        <v>206</v>
      </c>
      <c r="F22" s="4" t="n">
        <v>0</v>
      </c>
      <c r="G22" s="4" t="n">
        <f aca="false">G21+E22-F22</f>
        <v>-3999.1</v>
      </c>
    </row>
    <row r="25" customFormat="false" ht="12.75" hidden="false" customHeight="false" outlineLevel="0" collapsed="false">
      <c r="A25" s="77"/>
    </row>
    <row r="26" customFormat="false" ht="12.75" hidden="false" customHeight="false" outlineLevel="0" collapsed="false">
      <c r="A26" s="77"/>
      <c r="B26" s="4"/>
    </row>
    <row r="27" customFormat="false" ht="12.75" hidden="false" customHeight="false" outlineLevel="0" collapsed="false">
      <c r="A27" s="77"/>
      <c r="B27" s="4"/>
    </row>
    <row r="31" customFormat="false" ht="12.75" hidden="false" customHeight="false" outlineLevel="0" collapsed="false">
      <c r="E31" s="2"/>
    </row>
    <row r="32" customFormat="false" ht="12.75" hidden="false" customHeight="false" outlineLevel="0" collapsed="false">
      <c r="E32" s="2"/>
    </row>
    <row r="33" customFormat="false" ht="12.75" hidden="false" customHeight="false" outlineLevel="0" collapsed="false">
      <c r="E33" s="2"/>
    </row>
    <row r="34" customFormat="false" ht="12.75" hidden="false" customHeight="false" outlineLevel="0" collapsed="false">
      <c r="A34" s="77"/>
      <c r="E34" s="2"/>
    </row>
    <row r="35" customFormat="false" ht="12.75" hidden="false" customHeight="false" outlineLevel="0" collapsed="false">
      <c r="A35" s="77"/>
      <c r="E35" s="2"/>
    </row>
    <row r="36" customFormat="false" ht="12.75" hidden="false" customHeight="false" outlineLevel="0" collapsed="false">
      <c r="E36" s="2"/>
    </row>
    <row r="37" customFormat="false" ht="12.75" hidden="false" customHeight="false" outlineLevel="0" collapsed="false">
      <c r="A37" s="77"/>
      <c r="E37" s="2"/>
    </row>
    <row r="47" customFormat="false" ht="12.75" hidden="false" customHeight="false" outlineLevel="0" collapsed="false">
      <c r="G47" s="72"/>
    </row>
  </sheetData>
  <printOptions headings="false" gridLines="false" gridLinesSet="true" horizontalCentered="false" verticalCentered="false"/>
  <pageMargins left="0.39375" right="0.236111111111111" top="0.709027777777778" bottom="0.70625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81"/>
  <sheetViews>
    <sheetView showFormulas="false" showGridLines="true" showRowColHeaders="true" showZeros="true" rightToLeft="false" tabSelected="false" showOutlineSymbols="true" defaultGridColor="true" view="normal" topLeftCell="A17" colorId="64" zoomScale="140" zoomScaleNormal="140" zoomScalePageLayoutView="100" workbookViewId="0">
      <selection pane="topLeft" activeCell="B34" activeCellId="1" sqref="F84:F86 B34"/>
    </sheetView>
  </sheetViews>
  <sheetFormatPr defaultColWidth="8.66015625" defaultRowHeight="12.75" customHeight="false" zeroHeight="false" outlineLevelRow="0" outlineLevelCol="0"/>
  <cols>
    <col collapsed="false" customWidth="true" hidden="false" outlineLevel="0" max="1" min="1" style="0" width="10.57"/>
    <col collapsed="false" customWidth="true" hidden="false" outlineLevel="0" max="2" min="2" style="0" width="16"/>
    <col collapsed="false" customWidth="true" hidden="false" outlineLevel="0" max="3" min="3" style="0" width="11.14"/>
    <col collapsed="false" customWidth="true" hidden="false" outlineLevel="0" max="4" min="4" style="0" width="12"/>
    <col collapsed="false" customWidth="true" hidden="false" outlineLevel="0" max="5" min="5" style="0" width="12.29"/>
    <col collapsed="false" customWidth="true" hidden="false" outlineLevel="0" max="6" min="6" style="250" width="13"/>
    <col collapsed="false" customWidth="true" hidden="false" outlineLevel="0" max="7" min="7" style="0" width="12.57"/>
    <col collapsed="false" customWidth="true" hidden="false" outlineLevel="0" max="8" min="8" style="0" width="12.71"/>
    <col collapsed="false" customWidth="true" hidden="false" outlineLevel="0" max="9" min="9" style="0" width="15.14"/>
  </cols>
  <sheetData>
    <row r="2" customFormat="false" ht="12.75" hidden="false" customHeight="false" outlineLevel="0" collapsed="false">
      <c r="B2" s="255" t="s">
        <v>480</v>
      </c>
    </row>
    <row r="3" customFormat="false" ht="12.75" hidden="false" customHeight="false" outlineLevel="0" collapsed="false">
      <c r="C3" s="6" t="s">
        <v>481</v>
      </c>
      <c r="D3" s="2" t="s">
        <v>482</v>
      </c>
      <c r="E3" s="6" t="s">
        <v>483</v>
      </c>
      <c r="F3" s="256"/>
      <c r="H3" s="6" t="s">
        <v>4</v>
      </c>
    </row>
    <row r="4" customFormat="false" ht="12.75" hidden="false" customHeight="false" outlineLevel="0" collapsed="false">
      <c r="C4" s="257" t="s">
        <v>3</v>
      </c>
      <c r="D4" s="2" t="s">
        <v>28</v>
      </c>
      <c r="E4" s="6" t="s">
        <v>3</v>
      </c>
      <c r="F4" s="256"/>
      <c r="H4" s="6" t="s">
        <v>28</v>
      </c>
    </row>
    <row r="5" customFormat="false" ht="13.8" hidden="false" customHeight="false" outlineLevel="0" collapsed="false">
      <c r="D5" s="258" t="n">
        <v>138749.76</v>
      </c>
      <c r="E5" s="259"/>
      <c r="F5" s="260"/>
      <c r="G5" s="261" t="s">
        <v>484</v>
      </c>
      <c r="H5" s="262" t="n">
        <f aca="false">D5</f>
        <v>138749.76</v>
      </c>
      <c r="I5" s="0" t="s">
        <v>485</v>
      </c>
    </row>
    <row r="6" customFormat="false" ht="13.8" hidden="false" customHeight="false" outlineLevel="0" collapsed="false">
      <c r="D6" s="258"/>
      <c r="E6" s="259"/>
      <c r="F6" s="260"/>
      <c r="G6" s="263"/>
      <c r="H6" s="262"/>
    </row>
    <row r="7" customFormat="false" ht="13.8" hidden="false" customHeight="false" outlineLevel="0" collapsed="false">
      <c r="D7" s="264" t="s">
        <v>486</v>
      </c>
      <c r="G7" s="3" t="s">
        <v>487</v>
      </c>
      <c r="H7" s="265" t="n">
        <f aca="false">H31*-1</f>
        <v>139111.944</v>
      </c>
    </row>
    <row r="8" customFormat="false" ht="13.8" hidden="false" customHeight="false" outlineLevel="0" collapsed="false">
      <c r="D8" s="264"/>
      <c r="H8" s="265" t="n">
        <f aca="false">H7+H5</f>
        <v>277861.704</v>
      </c>
    </row>
    <row r="9" customFormat="false" ht="12.75" hidden="false" customHeight="false" outlineLevel="0" collapsed="false">
      <c r="A9" s="266" t="n">
        <v>45661</v>
      </c>
      <c r="C9" s="267"/>
      <c r="D9" s="8" t="n">
        <f aca="false">H8-C9</f>
        <v>277861.704</v>
      </c>
      <c r="E9" s="268"/>
      <c r="F9" s="269"/>
      <c r="G9" s="270"/>
      <c r="H9" s="271" t="n">
        <f aca="false">H8-E9</f>
        <v>277861.704</v>
      </c>
    </row>
    <row r="10" customFormat="false" ht="12.75" hidden="false" customHeight="false" outlineLevel="0" collapsed="false">
      <c r="A10" s="266" t="n">
        <v>45689</v>
      </c>
      <c r="C10" s="267"/>
      <c r="D10" s="8" t="n">
        <f aca="false">D9-C10</f>
        <v>277861.704</v>
      </c>
      <c r="E10" s="268"/>
      <c r="F10" s="269"/>
      <c r="G10" s="270"/>
      <c r="H10" s="8" t="n">
        <f aca="false">H9-E10</f>
        <v>277861.704</v>
      </c>
    </row>
    <row r="11" customFormat="false" ht="12.75" hidden="false" customHeight="false" outlineLevel="0" collapsed="false">
      <c r="A11" s="266" t="n">
        <v>45717</v>
      </c>
      <c r="C11" s="267"/>
      <c r="D11" s="8" t="n">
        <f aca="false">D10-C11</f>
        <v>277861.704</v>
      </c>
      <c r="E11" s="268"/>
      <c r="F11" s="269"/>
      <c r="G11" s="270"/>
      <c r="H11" s="8" t="n">
        <f aca="false">H10-E11</f>
        <v>277861.704</v>
      </c>
    </row>
    <row r="12" customFormat="false" ht="12.75" hidden="false" customHeight="false" outlineLevel="0" collapsed="false">
      <c r="A12" s="266" t="n">
        <v>45755</v>
      </c>
      <c r="B12" s="0" t="s">
        <v>488</v>
      </c>
      <c r="C12" s="267"/>
      <c r="D12" s="8" t="n">
        <f aca="false">D11-C12</f>
        <v>277861.704</v>
      </c>
      <c r="E12" s="268" t="n">
        <v>20000</v>
      </c>
      <c r="F12" s="269"/>
      <c r="G12" s="270"/>
      <c r="H12" s="8" t="n">
        <f aca="false">H11-E12</f>
        <v>257861.704</v>
      </c>
    </row>
    <row r="13" customFormat="false" ht="12.75" hidden="false" customHeight="false" outlineLevel="0" collapsed="false">
      <c r="A13" s="266" t="n">
        <v>45786</v>
      </c>
      <c r="B13" s="0" t="s">
        <v>488</v>
      </c>
      <c r="C13" s="267"/>
      <c r="D13" s="8" t="n">
        <f aca="false">D12-C13</f>
        <v>277861.704</v>
      </c>
      <c r="E13" s="268" t="n">
        <v>20000</v>
      </c>
      <c r="F13" s="269"/>
      <c r="G13" s="270"/>
      <c r="H13" s="8" t="n">
        <f aca="false">H12-E13</f>
        <v>237861.704</v>
      </c>
    </row>
    <row r="14" customFormat="false" ht="12.75" hidden="false" customHeight="false" outlineLevel="0" collapsed="false">
      <c r="A14" s="266" t="n">
        <v>45818</v>
      </c>
      <c r="B14" s="0" t="s">
        <v>488</v>
      </c>
      <c r="C14" s="267"/>
      <c r="D14" s="8" t="n">
        <f aca="false">D13-C14</f>
        <v>277861.704</v>
      </c>
      <c r="E14" s="268" t="n">
        <v>20000</v>
      </c>
      <c r="G14" s="270"/>
      <c r="H14" s="8" t="n">
        <f aca="false">H13-E14</f>
        <v>217861.704</v>
      </c>
    </row>
    <row r="15" customFormat="false" ht="12.75" hidden="false" customHeight="false" outlineLevel="0" collapsed="false">
      <c r="A15" s="266" t="n">
        <v>45846</v>
      </c>
      <c r="B15" s="0" t="s">
        <v>488</v>
      </c>
      <c r="C15" s="267"/>
      <c r="D15" s="8" t="n">
        <f aca="false">D14-C15</f>
        <v>277861.704</v>
      </c>
      <c r="E15" s="268" t="n">
        <v>20000</v>
      </c>
      <c r="G15" s="270"/>
      <c r="H15" s="8" t="n">
        <f aca="false">H14-E15</f>
        <v>197861.704</v>
      </c>
    </row>
    <row r="16" customFormat="false" ht="12.75" hidden="false" customHeight="false" outlineLevel="0" collapsed="false">
      <c r="A16" s="266" t="n">
        <v>45855</v>
      </c>
      <c r="B16" s="0" t="s">
        <v>488</v>
      </c>
      <c r="C16" s="267"/>
      <c r="D16" s="8" t="n">
        <f aca="false">D15-C16</f>
        <v>277861.704</v>
      </c>
      <c r="E16" s="268" t="n">
        <v>30000</v>
      </c>
      <c r="H16" s="8" t="n">
        <f aca="false">H15-E16</f>
        <v>167861.704</v>
      </c>
    </row>
    <row r="17" customFormat="false" ht="12.75" hidden="false" customHeight="false" outlineLevel="0" collapsed="false">
      <c r="A17" s="266" t="n">
        <v>45901</v>
      </c>
      <c r="B17" s="0" t="s">
        <v>488</v>
      </c>
      <c r="C17" s="267"/>
      <c r="D17" s="8" t="n">
        <f aca="false">D16-C17</f>
        <v>277861.704</v>
      </c>
      <c r="E17" s="268" t="n">
        <v>20000</v>
      </c>
      <c r="H17" s="8" t="n">
        <f aca="false">H16-E17</f>
        <v>147861.704</v>
      </c>
    </row>
    <row r="18" customFormat="false" ht="12.75" hidden="false" customHeight="false" outlineLevel="0" collapsed="false">
      <c r="A18" s="266" t="n">
        <v>45944</v>
      </c>
      <c r="B18" s="0" t="s">
        <v>488</v>
      </c>
      <c r="C18" s="267"/>
      <c r="D18" s="8" t="n">
        <f aca="false">D17-C18</f>
        <v>277861.704</v>
      </c>
      <c r="E18" s="268" t="n">
        <v>20000</v>
      </c>
      <c r="H18" s="8" t="n">
        <f aca="false">H17-E18</f>
        <v>127861.704</v>
      </c>
    </row>
    <row r="19" customFormat="false" ht="12.75" hidden="false" customHeight="false" outlineLevel="0" collapsed="false">
      <c r="A19" s="266" t="n">
        <v>45966</v>
      </c>
      <c r="B19" s="0" t="s">
        <v>488</v>
      </c>
      <c r="C19" s="267"/>
      <c r="D19" s="8" t="n">
        <f aca="false">D18-C19</f>
        <v>277861.704</v>
      </c>
      <c r="E19" s="268" t="n">
        <v>20000</v>
      </c>
      <c r="H19" s="8" t="n">
        <f aca="false">H18-E19</f>
        <v>107861.704</v>
      </c>
    </row>
    <row r="20" customFormat="false" ht="12.75" hidden="false" customHeight="false" outlineLevel="0" collapsed="false">
      <c r="A20" s="266" t="n">
        <v>45992</v>
      </c>
      <c r="B20" s="0" t="s">
        <v>488</v>
      </c>
      <c r="C20" s="267"/>
      <c r="D20" s="8" t="n">
        <f aca="false">D19-C20</f>
        <v>277861.704</v>
      </c>
      <c r="E20" s="268" t="n">
        <v>20000</v>
      </c>
      <c r="H20" s="8" t="n">
        <f aca="false">H19-E20</f>
        <v>87861.704</v>
      </c>
    </row>
    <row r="21" customFormat="false" ht="12.75" hidden="false" customHeight="false" outlineLevel="0" collapsed="false">
      <c r="A21" s="272" t="n">
        <v>46034</v>
      </c>
      <c r="B21" s="2" t="s">
        <v>488</v>
      </c>
      <c r="C21" s="267"/>
      <c r="D21" s="273"/>
      <c r="E21" s="268" t="n">
        <v>25000</v>
      </c>
      <c r="F21" s="256"/>
      <c r="G21" s="2"/>
      <c r="H21" s="273" t="n">
        <f aca="false">H20-E21</f>
        <v>62861.704</v>
      </c>
    </row>
    <row r="22" customFormat="false" ht="12.75" hidden="false" customHeight="false" outlineLevel="0" collapsed="false">
      <c r="A22" s="272" t="n">
        <v>46058</v>
      </c>
      <c r="B22" s="2" t="s">
        <v>488</v>
      </c>
      <c r="C22" s="267"/>
      <c r="D22" s="273"/>
      <c r="E22" s="268" t="n">
        <v>25000</v>
      </c>
      <c r="F22" s="256"/>
      <c r="G22" s="2"/>
      <c r="H22" s="273" t="n">
        <f aca="false">H21-E22</f>
        <v>37861.704</v>
      </c>
    </row>
    <row r="23" customFormat="false" ht="12.75" hidden="false" customHeight="false" outlineLevel="0" collapsed="false">
      <c r="A23" s="266"/>
      <c r="C23" s="267"/>
      <c r="D23" s="8"/>
      <c r="E23" s="268"/>
      <c r="H23" s="8"/>
    </row>
    <row r="24" customFormat="false" ht="12.75" hidden="false" customHeight="false" outlineLevel="0" collapsed="false">
      <c r="A24" s="266"/>
      <c r="C24" s="267"/>
      <c r="D24" s="8"/>
      <c r="E24" s="268"/>
      <c r="H24" s="8"/>
    </row>
    <row r="25" customFormat="false" ht="12.75" hidden="false" customHeight="false" outlineLevel="0" collapsed="false">
      <c r="A25" s="266"/>
      <c r="C25" s="267"/>
      <c r="D25" s="8"/>
      <c r="E25" s="268"/>
      <c r="H25" s="8"/>
    </row>
    <row r="26" customFormat="false" ht="12.75" hidden="false" customHeight="false" outlineLevel="0" collapsed="false">
      <c r="A26" s="266"/>
      <c r="C26" s="267"/>
      <c r="D26" s="8"/>
      <c r="E26" s="268"/>
      <c r="H26" s="8"/>
    </row>
    <row r="27" customFormat="false" ht="12.75" hidden="false" customHeight="false" outlineLevel="0" collapsed="false">
      <c r="A27" s="266"/>
      <c r="C27" s="267"/>
      <c r="D27" s="8"/>
      <c r="E27" s="268"/>
      <c r="H27" s="8"/>
    </row>
    <row r="28" customFormat="false" ht="12.75" hidden="false" customHeight="false" outlineLevel="0" collapsed="false">
      <c r="C28" s="267"/>
      <c r="D28" s="8"/>
      <c r="G28" s="8"/>
      <c r="H28" s="264"/>
    </row>
    <row r="29" customFormat="false" ht="15" hidden="false" customHeight="false" outlineLevel="0" collapsed="false">
      <c r="B29" s="274" t="s">
        <v>489</v>
      </c>
      <c r="D29" s="275" t="n">
        <v>0.764616</v>
      </c>
      <c r="E29" s="275" t="n">
        <f aca="false">1-D29</f>
        <v>0.235384</v>
      </c>
      <c r="H29" s="264"/>
    </row>
    <row r="30" customFormat="false" ht="12.75" hidden="false" customHeight="false" outlineLevel="0" collapsed="false">
      <c r="A30" s="276" t="s">
        <v>25</v>
      </c>
      <c r="B30" s="276" t="s">
        <v>26</v>
      </c>
      <c r="C30" s="277" t="s">
        <v>490</v>
      </c>
      <c r="D30" s="278" t="s">
        <v>491</v>
      </c>
      <c r="E30" s="277" t="s">
        <v>492</v>
      </c>
      <c r="F30" s="279" t="s">
        <v>493</v>
      </c>
      <c r="G30" s="277" t="s">
        <v>494</v>
      </c>
      <c r="H30" s="280" t="s">
        <v>495</v>
      </c>
      <c r="I30" s="281" t="s">
        <v>496</v>
      </c>
      <c r="J30" s="281" t="s">
        <v>497</v>
      </c>
    </row>
    <row r="31" customFormat="false" ht="12.75" hidden="false" customHeight="false" outlineLevel="0" collapsed="false">
      <c r="A31" s="282"/>
      <c r="B31" s="283" t="s">
        <v>498</v>
      </c>
      <c r="C31" s="284" t="n">
        <f aca="false">SUBTOTAL(109,C32:C46)</f>
        <v>591000</v>
      </c>
      <c r="D31" s="284" t="n">
        <f aca="false">SUBTOTAL(109,D32:D46)</f>
        <v>591000</v>
      </c>
      <c r="E31" s="284" t="n">
        <f aca="false">SUM(E32:E46)</f>
        <v>0</v>
      </c>
      <c r="F31" s="285"/>
      <c r="G31" s="284" t="n">
        <f aca="false">SUBTOTAL(109,$G$32:$G$46)</f>
        <v>-139111.944</v>
      </c>
      <c r="H31" s="284" t="n">
        <f aca="false">H32</f>
        <v>-139111.944</v>
      </c>
      <c r="J31" s="286"/>
    </row>
    <row r="32" customFormat="false" ht="12.75" hidden="false" customHeight="false" outlineLevel="0" collapsed="false">
      <c r="A32" s="287" t="n">
        <v>46021</v>
      </c>
      <c r="B32" s="0" t="s">
        <v>499</v>
      </c>
      <c r="D32" s="288" t="n">
        <f aca="false">IF(F32=1,$C32,0)</f>
        <v>0</v>
      </c>
      <c r="E32" s="289" t="n">
        <f aca="false">IF(F32=0,C32*$E$29*-1,0)</f>
        <v>-0</v>
      </c>
      <c r="F32" s="290" t="n">
        <v>0</v>
      </c>
      <c r="G32" s="288" t="n">
        <f aca="false">IF(F32=1,C32*$E$29*-1,0)</f>
        <v>0</v>
      </c>
      <c r="H32" s="264" t="n">
        <f aca="false">H33+G32</f>
        <v>-139111.944</v>
      </c>
      <c r="J32" s="286"/>
    </row>
    <row r="33" customFormat="false" ht="12.75" hidden="false" customHeight="false" outlineLevel="0" collapsed="false">
      <c r="A33" s="291" t="n">
        <v>45992</v>
      </c>
      <c r="B33" s="156" t="s">
        <v>500</v>
      </c>
      <c r="C33" s="292" t="n">
        <v>301000</v>
      </c>
      <c r="D33" s="288" t="n">
        <f aca="false">IF(F33=1,$C33,0)</f>
        <v>301000</v>
      </c>
      <c r="E33" s="289" t="n">
        <f aca="false">IF(F33=0,C33*$E$29*-1,0)</f>
        <v>0</v>
      </c>
      <c r="F33" s="290" t="n">
        <v>1</v>
      </c>
      <c r="G33" s="288" t="n">
        <f aca="false">IF(F33=1,C33*$E$29*-1,0)</f>
        <v>-70850.584</v>
      </c>
      <c r="H33" s="264" t="n">
        <f aca="false">H34+G33</f>
        <v>-139111.944</v>
      </c>
    </row>
    <row r="34" customFormat="false" ht="12.75" hidden="false" customHeight="false" outlineLevel="0" collapsed="false">
      <c r="A34" s="291"/>
      <c r="B34" s="156"/>
      <c r="C34" s="292"/>
      <c r="D34" s="288" t="n">
        <f aca="false">IF(F34=1,$C34,0)</f>
        <v>0</v>
      </c>
      <c r="E34" s="289" t="n">
        <f aca="false">IF(F34=0,C34*$E$29*-1,0)</f>
        <v>-0</v>
      </c>
      <c r="F34" s="290" t="n">
        <v>0</v>
      </c>
      <c r="G34" s="288" t="n">
        <f aca="false">IF(F34=1,C34*$E$29*-1,0)</f>
        <v>0</v>
      </c>
      <c r="H34" s="264" t="n">
        <f aca="false">H35+G34</f>
        <v>-68261.36</v>
      </c>
    </row>
    <row r="35" customFormat="false" ht="12.75" hidden="false" customHeight="false" outlineLevel="0" collapsed="false">
      <c r="A35" s="291"/>
      <c r="B35" s="156"/>
      <c r="C35" s="292"/>
      <c r="D35" s="288" t="n">
        <f aca="false">IF(F35=1,$C35,0)</f>
        <v>0</v>
      </c>
      <c r="E35" s="289" t="n">
        <f aca="false">IF(F35=0,C35*$E$29*-1,0)</f>
        <v>-0</v>
      </c>
      <c r="F35" s="290" t="n">
        <v>0</v>
      </c>
      <c r="G35" s="288" t="n">
        <f aca="false">IF(F35=1,C35*$E$29*-1,0)</f>
        <v>0</v>
      </c>
      <c r="H35" s="264" t="n">
        <f aca="false">H36+G35</f>
        <v>-68261.36</v>
      </c>
    </row>
    <row r="36" customFormat="false" ht="12.75" hidden="false" customHeight="false" outlineLevel="0" collapsed="false">
      <c r="A36" s="291"/>
      <c r="B36" s="293"/>
      <c r="C36" s="292"/>
      <c r="D36" s="288" t="n">
        <f aca="false">IF(F36=1,$C36,0)</f>
        <v>0</v>
      </c>
      <c r="E36" s="289" t="n">
        <f aca="false">IF(F36=0,C36*$E$29*-1,0)</f>
        <v>-0</v>
      </c>
      <c r="F36" s="290" t="n">
        <v>0</v>
      </c>
      <c r="G36" s="288" t="n">
        <f aca="false">IF(F36=1,C36*$E$29*-1,0)</f>
        <v>0</v>
      </c>
      <c r="H36" s="264" t="n">
        <f aca="false">H37+G36</f>
        <v>-68261.36</v>
      </c>
    </row>
    <row r="37" customFormat="false" ht="12.75" hidden="false" customHeight="false" outlineLevel="0" collapsed="false">
      <c r="A37" s="291"/>
      <c r="B37" s="293"/>
      <c r="C37" s="258"/>
      <c r="D37" s="288" t="n">
        <f aca="false">IF(F37=1,$C37,0)</f>
        <v>0</v>
      </c>
      <c r="E37" s="289" t="n">
        <f aca="false">IF(F37=0,C37*$E$29*-1,0)</f>
        <v>-0</v>
      </c>
      <c r="F37" s="290" t="n">
        <v>0</v>
      </c>
      <c r="G37" s="288" t="n">
        <f aca="false">IF(F37=1,C37*$E$29*-1,0)</f>
        <v>0</v>
      </c>
      <c r="H37" s="264" t="n">
        <f aca="false">H38+G37</f>
        <v>-68261.36</v>
      </c>
    </row>
    <row r="38" customFormat="false" ht="12.75" hidden="false" customHeight="false" outlineLevel="0" collapsed="false">
      <c r="A38" s="291"/>
      <c r="B38" s="156"/>
      <c r="C38" s="292"/>
      <c r="D38" s="288" t="n">
        <f aca="false">IF(F38=1,$C38,0)</f>
        <v>0</v>
      </c>
      <c r="E38" s="289" t="n">
        <f aca="false">IF(F38=0,C38*$E$29*-1,0)</f>
        <v>-0</v>
      </c>
      <c r="F38" s="290" t="n">
        <v>0</v>
      </c>
      <c r="G38" s="288" t="n">
        <f aca="false">IF(F38=1,C38*$E$29*-1,0)</f>
        <v>0</v>
      </c>
      <c r="H38" s="264" t="n">
        <f aca="false">H39+G38</f>
        <v>-68261.36</v>
      </c>
    </row>
    <row r="39" customFormat="false" ht="12.75" hidden="false" customHeight="false" outlineLevel="0" collapsed="false">
      <c r="A39" s="291"/>
      <c r="B39" s="156"/>
      <c r="C39" s="292"/>
      <c r="D39" s="288" t="n">
        <f aca="false">IF(F39=1,$C39,0)</f>
        <v>0</v>
      </c>
      <c r="E39" s="289" t="n">
        <f aca="false">IF(F39=0,C39*$E$29*-1,0)</f>
        <v>-0</v>
      </c>
      <c r="F39" s="290" t="n">
        <v>0</v>
      </c>
      <c r="G39" s="288" t="n">
        <f aca="false">IF(F39=1,C39*$E$29*-1,0)</f>
        <v>0</v>
      </c>
      <c r="H39" s="264" t="n">
        <f aca="false">H40+G39</f>
        <v>-68261.36</v>
      </c>
    </row>
    <row r="40" customFormat="false" ht="12.75" hidden="false" customHeight="false" outlineLevel="0" collapsed="false">
      <c r="A40" s="291"/>
      <c r="B40" s="156"/>
      <c r="C40" s="292"/>
      <c r="D40" s="288" t="n">
        <f aca="false">IF(F40=1,$C40,0)</f>
        <v>0</v>
      </c>
      <c r="E40" s="289" t="n">
        <f aca="false">IF(F40=0,C40*$E$29*-1,0)</f>
        <v>-0</v>
      </c>
      <c r="F40" s="290" t="n">
        <v>0</v>
      </c>
      <c r="G40" s="288" t="n">
        <f aca="false">IF(F40=1,C40*$E$29*-1,0)</f>
        <v>0</v>
      </c>
      <c r="H40" s="264" t="n">
        <f aca="false">H41+G40</f>
        <v>-68261.36</v>
      </c>
    </row>
    <row r="41" customFormat="false" ht="12.75" hidden="false" customHeight="false" outlineLevel="0" collapsed="false">
      <c r="A41" s="291"/>
      <c r="B41" s="293"/>
      <c r="C41" s="292"/>
      <c r="D41" s="288" t="n">
        <f aca="false">IF(F41=1,$C41,0)</f>
        <v>0</v>
      </c>
      <c r="E41" s="289" t="n">
        <f aca="false">IF(F41=0,C41*$E$29*-1,0)</f>
        <v>-0</v>
      </c>
      <c r="F41" s="290" t="n">
        <v>0</v>
      </c>
      <c r="G41" s="288" t="n">
        <f aca="false">IF(F41=1,C41*$E$29*-1,0)</f>
        <v>0</v>
      </c>
      <c r="H41" s="264" t="n">
        <f aca="false">H42+G41</f>
        <v>-68261.36</v>
      </c>
    </row>
    <row r="42" customFormat="false" ht="12.75" hidden="false" customHeight="false" outlineLevel="0" collapsed="false">
      <c r="A42" s="291"/>
      <c r="B42" s="156"/>
      <c r="C42" s="294"/>
      <c r="D42" s="288" t="n">
        <f aca="false">IF(F42=1,$C42,0)</f>
        <v>0</v>
      </c>
      <c r="E42" s="289" t="n">
        <f aca="false">IF(F42=0,C42*$E$29*-1,0)</f>
        <v>-0</v>
      </c>
      <c r="F42" s="290" t="n">
        <v>0</v>
      </c>
      <c r="G42" s="288" t="n">
        <f aca="false">IF(F42=1,C42*$E$29*-1,0)</f>
        <v>0</v>
      </c>
      <c r="H42" s="264" t="n">
        <f aca="false">H43+G42</f>
        <v>-68261.36</v>
      </c>
    </row>
    <row r="43" customFormat="false" ht="12.75" hidden="false" customHeight="false" outlineLevel="0" collapsed="false">
      <c r="A43" s="291"/>
      <c r="B43" s="293"/>
      <c r="C43" s="258"/>
      <c r="D43" s="288" t="n">
        <f aca="false">IF(F43=1,$C43,0)</f>
        <v>0</v>
      </c>
      <c r="E43" s="289" t="n">
        <f aca="false">IF(F43=0,C43*$E$29*-1,0)</f>
        <v>-0</v>
      </c>
      <c r="F43" s="290" t="n">
        <v>0</v>
      </c>
      <c r="G43" s="288" t="n">
        <f aca="false">IF(F43=1,C43*$E$29*-1,0)</f>
        <v>0</v>
      </c>
      <c r="H43" s="264" t="n">
        <f aca="false">H44+G43</f>
        <v>-68261.36</v>
      </c>
    </row>
    <row r="44" customFormat="false" ht="12.75" hidden="false" customHeight="false" outlineLevel="0" collapsed="false">
      <c r="A44" s="291"/>
      <c r="B44" s="156"/>
      <c r="C44" s="292"/>
      <c r="D44" s="288" t="n">
        <f aca="false">IF(F44=1,$C44,0)</f>
        <v>0</v>
      </c>
      <c r="E44" s="289" t="n">
        <f aca="false">IF(F44=0,C44*$E$29*-1,0)</f>
        <v>-0</v>
      </c>
      <c r="F44" s="290" t="n">
        <v>0</v>
      </c>
      <c r="G44" s="288" t="n">
        <f aca="false">IF(F44=1,C44*$E$29*-1,0)</f>
        <v>0</v>
      </c>
      <c r="H44" s="264" t="n">
        <f aca="false">H45+G44</f>
        <v>-68261.36</v>
      </c>
    </row>
    <row r="45" customFormat="false" ht="12.75" hidden="false" customHeight="false" outlineLevel="0" collapsed="false">
      <c r="A45" s="291"/>
      <c r="B45" s="156"/>
      <c r="C45" s="292"/>
      <c r="D45" s="288" t="n">
        <f aca="false">IF(F45=1,$C45,0)</f>
        <v>0</v>
      </c>
      <c r="E45" s="289" t="n">
        <f aca="false">IF(F45=0,C45*$E$29*-1,0)</f>
        <v>0</v>
      </c>
      <c r="F45" s="290" t="n">
        <v>1</v>
      </c>
      <c r="G45" s="288" t="n">
        <f aca="false">IF(F45=1,C45*$E$29*-1,0)</f>
        <v>-0</v>
      </c>
      <c r="H45" s="264" t="n">
        <f aca="false">H46+G45</f>
        <v>-68261.36</v>
      </c>
      <c r="J45" s="0" t="n">
        <v>5</v>
      </c>
    </row>
    <row r="46" customFormat="false" ht="12.75" hidden="false" customHeight="false" outlineLevel="0" collapsed="false">
      <c r="A46" s="295" t="n">
        <v>45660</v>
      </c>
      <c r="B46" s="296" t="s">
        <v>501</v>
      </c>
      <c r="C46" s="297" t="n">
        <v>290000</v>
      </c>
      <c r="D46" s="288" t="n">
        <f aca="false">IF(F46=1,$C46,0)</f>
        <v>290000</v>
      </c>
      <c r="E46" s="289" t="n">
        <f aca="false">IF(F46=0,C46*$E$29*-1,0)</f>
        <v>0</v>
      </c>
      <c r="F46" s="298" t="n">
        <v>1</v>
      </c>
      <c r="G46" s="288" t="n">
        <f aca="false">IF(F46=1,C46*$E$29*-1,0)</f>
        <v>-68261.36</v>
      </c>
      <c r="H46" s="264" t="n">
        <f aca="false">G46</f>
        <v>-68261.36</v>
      </c>
      <c r="J46" s="0" t="n">
        <v>4</v>
      </c>
    </row>
    <row r="47" customFormat="false" ht="12.75" hidden="false" customHeight="false" outlineLevel="0" collapsed="false">
      <c r="J47" s="0" t="s">
        <v>502</v>
      </c>
    </row>
    <row r="48" customFormat="false" ht="12.75" hidden="false" customHeight="false" outlineLevel="0" collapsed="false">
      <c r="C48" s="264"/>
      <c r="D48" s="264"/>
      <c r="E48" s="264"/>
      <c r="G48" s="264"/>
      <c r="H48" s="264"/>
    </row>
    <row r="49" customFormat="false" ht="12.75" hidden="false" customHeight="false" outlineLevel="0" collapsed="false">
      <c r="C49" s="288" t="s">
        <v>503</v>
      </c>
      <c r="D49" s="264" t="s">
        <v>504</v>
      </c>
      <c r="E49" s="264" t="s">
        <v>505</v>
      </c>
      <c r="G49" s="299"/>
      <c r="H49" s="299"/>
      <c r="I49" s="300"/>
    </row>
    <row r="50" customFormat="false" ht="15" hidden="false" customHeight="false" outlineLevel="0" collapsed="false">
      <c r="B50" s="0" t="s">
        <v>506</v>
      </c>
      <c r="C50" s="301" t="n">
        <v>1</v>
      </c>
      <c r="D50" s="302" t="n">
        <f aca="false">D29</f>
        <v>0.764616</v>
      </c>
      <c r="E50" s="302" t="n">
        <f aca="false">1-D50</f>
        <v>0.235384</v>
      </c>
      <c r="H50" s="264"/>
    </row>
    <row r="51" customFormat="false" ht="12.75" hidden="false" customHeight="false" outlineLevel="0" collapsed="false">
      <c r="B51" s="0" t="s">
        <v>507</v>
      </c>
      <c r="C51" s="303" t="n">
        <f aca="false">$D$31*C50</f>
        <v>591000</v>
      </c>
      <c r="D51" s="304" t="n">
        <f aca="false">$D$31*D50</f>
        <v>451888.056</v>
      </c>
      <c r="E51" s="304" t="n">
        <f aca="false">$D$31*E50</f>
        <v>139111.944</v>
      </c>
      <c r="G51" s="260"/>
      <c r="H51" s="292"/>
    </row>
    <row r="52" customFormat="false" ht="12.75" hidden="false" customHeight="false" outlineLevel="0" collapsed="false">
      <c r="B52" s="0" t="s">
        <v>508</v>
      </c>
      <c r="C52" s="288" t="n">
        <f aca="false">D52+E52</f>
        <v>591000</v>
      </c>
      <c r="D52" s="264" t="n">
        <f aca="false">C51-E52</f>
        <v>451888.056</v>
      </c>
      <c r="E52" s="264" t="n">
        <f aca="false">$H$31*-1</f>
        <v>139111.944</v>
      </c>
      <c r="G52" s="250"/>
      <c r="H52" s="264"/>
      <c r="J52" s="264"/>
    </row>
    <row r="53" customFormat="false" ht="12.75" hidden="false" customHeight="false" outlineLevel="0" collapsed="false">
      <c r="B53" s="0" t="s">
        <v>509</v>
      </c>
      <c r="C53" s="288" t="n">
        <f aca="false">C51-C52</f>
        <v>0</v>
      </c>
      <c r="D53" s="264" t="n">
        <f aca="false">D51-D52</f>
        <v>0</v>
      </c>
      <c r="E53" s="264" t="n">
        <f aca="false">E51-E52</f>
        <v>0</v>
      </c>
      <c r="G53" s="264"/>
      <c r="H53" s="264"/>
      <c r="J53" s="264"/>
    </row>
    <row r="54" customFormat="false" ht="12.75" hidden="false" customHeight="false" outlineLevel="0" collapsed="false">
      <c r="C54" s="305"/>
      <c r="D54" s="305"/>
      <c r="E54" s="305"/>
      <c r="J54" s="264"/>
    </row>
    <row r="55" customFormat="false" ht="12.75" hidden="false" customHeight="false" outlineLevel="0" collapsed="false">
      <c r="J55" s="264"/>
    </row>
    <row r="56" customFormat="false" ht="12.75" hidden="false" customHeight="false" outlineLevel="0" collapsed="false">
      <c r="C56" s="6" t="s">
        <v>510</v>
      </c>
      <c r="D56" s="6" t="s">
        <v>511</v>
      </c>
      <c r="E56" s="6" t="s">
        <v>512</v>
      </c>
      <c r="G56" s="250"/>
      <c r="H56" s="264"/>
      <c r="J56" s="264"/>
    </row>
    <row r="57" customFormat="false" ht="12.75" hidden="false" customHeight="false" outlineLevel="0" collapsed="false">
      <c r="C57" s="264"/>
      <c r="D57" s="306"/>
      <c r="E57" s="264"/>
      <c r="G57" s="260" t="s">
        <v>513</v>
      </c>
      <c r="H57" s="292"/>
      <c r="J57" s="264"/>
    </row>
    <row r="58" customFormat="false" ht="12.75" hidden="false" customHeight="false" outlineLevel="0" collapsed="false">
      <c r="B58" s="264" t="s">
        <v>514</v>
      </c>
      <c r="C58" s="264" t="n">
        <f aca="false">D52</f>
        <v>451888.056</v>
      </c>
      <c r="D58" s="54" t="n">
        <v>0.025</v>
      </c>
      <c r="E58" s="264" t="n">
        <f aca="false">C58*D58</f>
        <v>11297.2014</v>
      </c>
      <c r="G58" s="250"/>
      <c r="H58" s="264"/>
    </row>
    <row r="59" customFormat="false" ht="12.75" hidden="false" customHeight="false" outlineLevel="0" collapsed="false">
      <c r="E59" s="264"/>
      <c r="G59" s="264"/>
      <c r="H59" s="264"/>
    </row>
    <row r="61" customFormat="false" ht="12.75" hidden="false" customHeight="false" outlineLevel="0" collapsed="false">
      <c r="D61" s="0" t="n">
        <v>12</v>
      </c>
      <c r="E61" s="307" t="n">
        <f aca="false">D29</f>
        <v>0.764616</v>
      </c>
      <c r="G61" s="308" t="n">
        <f aca="false">1-E61</f>
        <v>0.235384</v>
      </c>
    </row>
    <row r="62" customFormat="false" ht="12.75" hidden="false" customHeight="false" outlineLevel="0" collapsed="false">
      <c r="C62" s="0" t="n">
        <v>219</v>
      </c>
      <c r="D62" s="250" t="n">
        <f aca="false">C62/D61</f>
        <v>18.25</v>
      </c>
      <c r="E62" s="309" t="n">
        <f aca="false">D62*E61</f>
        <v>13.954242</v>
      </c>
      <c r="G62" s="309" t="n">
        <f aca="false">D62*G61</f>
        <v>4.295758</v>
      </c>
    </row>
    <row r="63" customFormat="false" ht="12.75" hidden="false" customHeight="false" outlineLevel="0" collapsed="false">
      <c r="C63" s="0" t="n">
        <v>290</v>
      </c>
      <c r="D63" s="250" t="n">
        <f aca="false">C63/D61</f>
        <v>24.1666666666667</v>
      </c>
      <c r="E63" s="309" t="n">
        <f aca="false">D63*E61</f>
        <v>18.47822</v>
      </c>
      <c r="G63" s="309" t="n">
        <f aca="false">D63*G61</f>
        <v>5.68844666666667</v>
      </c>
    </row>
    <row r="64" customFormat="false" ht="12.75" hidden="false" customHeight="false" outlineLevel="0" collapsed="false">
      <c r="D64" s="310" t="n">
        <f aca="false">SUM(D62:D63)</f>
        <v>42.4166666666667</v>
      </c>
      <c r="E64" s="311" t="n">
        <f aca="false">SUM(E62:E63)</f>
        <v>32.432462</v>
      </c>
      <c r="G64" s="312" t="n">
        <f aca="false">SUM(G62:G63)</f>
        <v>9.98420466666667</v>
      </c>
    </row>
    <row r="65" customFormat="false" ht="12.75" hidden="false" customHeight="false" outlineLevel="0" collapsed="false">
      <c r="G65" s="250"/>
    </row>
    <row r="66" customFormat="false" ht="12.75" hidden="false" customHeight="false" outlineLevel="0" collapsed="false">
      <c r="B66" s="74" t="n">
        <v>45627</v>
      </c>
      <c r="E66" s="0" t="n">
        <v>13.95</v>
      </c>
      <c r="F66" s="256" t="n">
        <f aca="false">E66</f>
        <v>13.95</v>
      </c>
      <c r="G66" s="250" t="n">
        <v>4.3</v>
      </c>
      <c r="H66" s="256" t="n">
        <f aca="false">G66</f>
        <v>4.3</v>
      </c>
    </row>
    <row r="67" customFormat="false" ht="12.75" hidden="false" customHeight="false" outlineLevel="0" collapsed="false">
      <c r="B67" s="74" t="n">
        <v>45658</v>
      </c>
      <c r="E67" s="0" t="n">
        <v>32.43</v>
      </c>
      <c r="F67" s="256" t="n">
        <f aca="false">F66+E67</f>
        <v>46.38</v>
      </c>
      <c r="G67" s="250" t="n">
        <f aca="false">G64</f>
        <v>9.98420466666667</v>
      </c>
      <c r="H67" s="256" t="n">
        <f aca="false">H66+G67</f>
        <v>14.2842046666667</v>
      </c>
    </row>
    <row r="68" customFormat="false" ht="12.75" hidden="false" customHeight="false" outlineLevel="0" collapsed="false">
      <c r="B68" s="74" t="n">
        <v>45689</v>
      </c>
      <c r="E68" s="0" t="n">
        <v>32.43</v>
      </c>
      <c r="F68" s="256" t="n">
        <f aca="false">F67+E68</f>
        <v>78.81</v>
      </c>
      <c r="G68" s="250" t="n">
        <f aca="false">G67</f>
        <v>9.98420466666667</v>
      </c>
      <c r="H68" s="256" t="n">
        <f aca="false">H67+G68</f>
        <v>24.2684093333333</v>
      </c>
    </row>
    <row r="69" customFormat="false" ht="12.75" hidden="false" customHeight="false" outlineLevel="0" collapsed="false">
      <c r="B69" s="74" t="n">
        <v>45717</v>
      </c>
      <c r="E69" s="0" t="n">
        <v>32.43</v>
      </c>
      <c r="F69" s="256" t="n">
        <f aca="false">F68+E69</f>
        <v>111.24</v>
      </c>
      <c r="G69" s="250" t="n">
        <f aca="false">G68</f>
        <v>9.98420466666667</v>
      </c>
      <c r="H69" s="256" t="n">
        <f aca="false">H68+G69</f>
        <v>34.252614</v>
      </c>
    </row>
    <row r="70" customFormat="false" ht="12.75" hidden="false" customHeight="false" outlineLevel="0" collapsed="false">
      <c r="B70" s="74" t="n">
        <v>45748</v>
      </c>
      <c r="E70" s="0" t="n">
        <v>32.43</v>
      </c>
      <c r="F70" s="256" t="n">
        <f aca="false">F69+E70</f>
        <v>143.67</v>
      </c>
      <c r="G70" s="250" t="n">
        <f aca="false">G69</f>
        <v>9.98420466666667</v>
      </c>
      <c r="H70" s="256" t="n">
        <f aca="false">H69+G70</f>
        <v>44.2368186666667</v>
      </c>
    </row>
    <row r="71" customFormat="false" ht="12.75" hidden="false" customHeight="false" outlineLevel="0" collapsed="false">
      <c r="B71" s="74" t="n">
        <v>45778</v>
      </c>
      <c r="F71" s="256"/>
      <c r="H71" s="2"/>
    </row>
    <row r="72" customFormat="false" ht="12.75" hidden="false" customHeight="false" outlineLevel="0" collapsed="false">
      <c r="B72" s="74" t="n">
        <v>45809</v>
      </c>
      <c r="F72" s="256"/>
      <c r="H72" s="2"/>
    </row>
    <row r="73" customFormat="false" ht="12.75" hidden="false" customHeight="false" outlineLevel="0" collapsed="false">
      <c r="B73" s="74" t="n">
        <v>45839</v>
      </c>
      <c r="F73" s="256"/>
      <c r="H73" s="2"/>
    </row>
    <row r="74" customFormat="false" ht="12.75" hidden="false" customHeight="false" outlineLevel="0" collapsed="false">
      <c r="B74" s="74" t="n">
        <v>45870</v>
      </c>
      <c r="F74" s="256"/>
      <c r="H74" s="2"/>
    </row>
    <row r="75" customFormat="false" ht="12.75" hidden="false" customHeight="false" outlineLevel="0" collapsed="false">
      <c r="B75" s="74" t="n">
        <v>45901</v>
      </c>
      <c r="F75" s="256"/>
      <c r="H75" s="2"/>
    </row>
    <row r="76" customFormat="false" ht="12.75" hidden="false" customHeight="false" outlineLevel="0" collapsed="false">
      <c r="B76" s="74" t="n">
        <v>45931</v>
      </c>
      <c r="F76" s="256"/>
      <c r="H76" s="2"/>
    </row>
    <row r="77" customFormat="false" ht="12.75" hidden="false" customHeight="false" outlineLevel="0" collapsed="false">
      <c r="B77" s="74" t="n">
        <v>45962</v>
      </c>
      <c r="F77" s="256"/>
      <c r="H77" s="2"/>
    </row>
    <row r="78" customFormat="false" ht="12.75" hidden="false" customHeight="false" outlineLevel="0" collapsed="false">
      <c r="B78" s="74" t="n">
        <v>45992</v>
      </c>
      <c r="F78" s="256"/>
      <c r="H78" s="2"/>
    </row>
    <row r="79" customFormat="false" ht="12.75" hidden="false" customHeight="false" outlineLevel="0" collapsed="false">
      <c r="B79" s="74"/>
    </row>
    <row r="80" customFormat="false" ht="12.75" hidden="false" customHeight="false" outlineLevel="0" collapsed="false">
      <c r="B80" s="74"/>
    </row>
    <row r="81" customFormat="false" ht="12.75" hidden="false" customHeight="false" outlineLevel="0" collapsed="false">
      <c r="B81" s="7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53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H21" activeCellId="1" sqref="F84:F86 H21"/>
    </sheetView>
  </sheetViews>
  <sheetFormatPr defaultColWidth="8.66015625" defaultRowHeight="12.75" customHeight="false" zeroHeight="false" outlineLevelRow="0" outlineLevelCol="0"/>
  <cols>
    <col collapsed="false" customWidth="true" hidden="false" outlineLevel="0" max="1" min="1" style="0" width="10.57"/>
    <col collapsed="false" customWidth="true" hidden="false" outlineLevel="0" max="2" min="2" style="0" width="16"/>
    <col collapsed="false" customWidth="true" hidden="false" outlineLevel="0" max="3" min="3" style="0" width="11.14"/>
    <col collapsed="false" customWidth="true" hidden="false" outlineLevel="0" max="4" min="4" style="0" width="12"/>
    <col collapsed="false" customWidth="true" hidden="false" outlineLevel="0" max="5" min="5" style="0" width="12.29"/>
    <col collapsed="false" customWidth="true" hidden="false" outlineLevel="0" max="6" min="6" style="0" width="13"/>
    <col collapsed="false" customWidth="true" hidden="false" outlineLevel="0" max="7" min="7" style="0" width="12.57"/>
    <col collapsed="false" customWidth="true" hidden="false" outlineLevel="0" max="8" min="8" style="0" width="12.71"/>
    <col collapsed="false" customWidth="true" hidden="false" outlineLevel="0" max="9" min="9" style="0" width="15.14"/>
  </cols>
  <sheetData>
    <row r="2" customFormat="false" ht="12.75" hidden="false" customHeight="false" outlineLevel="0" collapsed="false">
      <c r="B2" s="255" t="s">
        <v>515</v>
      </c>
    </row>
    <row r="3" customFormat="false" ht="12.75" hidden="false" customHeight="false" outlineLevel="0" collapsed="false">
      <c r="C3" s="6" t="s">
        <v>481</v>
      </c>
      <c r="D3" s="2" t="s">
        <v>482</v>
      </c>
      <c r="E3" s="6" t="s">
        <v>483</v>
      </c>
      <c r="F3" s="2"/>
      <c r="H3" s="6" t="s">
        <v>4</v>
      </c>
    </row>
    <row r="4" customFormat="false" ht="12.75" hidden="false" customHeight="false" outlineLevel="0" collapsed="false">
      <c r="C4" s="257" t="s">
        <v>3</v>
      </c>
      <c r="D4" s="2" t="s">
        <v>28</v>
      </c>
      <c r="E4" s="6" t="s">
        <v>3</v>
      </c>
      <c r="F4" s="2"/>
      <c r="H4" s="6" t="s">
        <v>28</v>
      </c>
    </row>
    <row r="5" customFormat="false" ht="13.8" hidden="false" customHeight="false" outlineLevel="0" collapsed="false">
      <c r="D5" s="292" t="n">
        <v>121030.76</v>
      </c>
      <c r="E5" s="259"/>
      <c r="F5" s="259"/>
      <c r="G5" s="261" t="s">
        <v>516</v>
      </c>
      <c r="H5" s="262" t="n">
        <f aca="false">D5</f>
        <v>121030.76</v>
      </c>
    </row>
    <row r="6" customFormat="false" ht="13.8" hidden="false" customHeight="false" outlineLevel="0" collapsed="false">
      <c r="D6" s="264"/>
      <c r="G6" s="3" t="s">
        <v>517</v>
      </c>
      <c r="H6" s="265" t="n">
        <f aca="false">H25*-1</f>
        <v>187718.9518456</v>
      </c>
    </row>
    <row r="7" customFormat="false" ht="13.8" hidden="false" customHeight="false" outlineLevel="0" collapsed="false">
      <c r="D7" s="264"/>
      <c r="H7" s="265" t="n">
        <f aca="false">H6+H5</f>
        <v>308749.7118456</v>
      </c>
    </row>
    <row r="8" customFormat="false" ht="12.75" hidden="false" customHeight="false" outlineLevel="0" collapsed="false">
      <c r="A8" s="266" t="n">
        <v>45295</v>
      </c>
      <c r="C8" s="267" t="n">
        <v>10000</v>
      </c>
      <c r="D8" s="8" t="n">
        <f aca="false">H7-C8</f>
        <v>298749.7118456</v>
      </c>
      <c r="E8" s="268" t="n">
        <v>10000</v>
      </c>
      <c r="F8" s="270"/>
      <c r="G8" s="270" t="s">
        <v>518</v>
      </c>
      <c r="H8" s="271" t="n">
        <f aca="false">H7-E8</f>
        <v>298749.7118456</v>
      </c>
    </row>
    <row r="9" customFormat="false" ht="12.75" hidden="false" customHeight="false" outlineLevel="0" collapsed="false">
      <c r="A9" s="266" t="n">
        <v>45323</v>
      </c>
      <c r="C9" s="267" t="n">
        <v>10000</v>
      </c>
      <c r="D9" s="8" t="n">
        <f aca="false">D8-C9</f>
        <v>288749.7118456</v>
      </c>
      <c r="E9" s="268" t="n">
        <v>10000</v>
      </c>
      <c r="F9" s="270"/>
      <c r="G9" s="270" t="s">
        <v>518</v>
      </c>
      <c r="H9" s="8" t="n">
        <f aca="false">H8-E9</f>
        <v>288749.7118456</v>
      </c>
    </row>
    <row r="10" customFormat="false" ht="12.75" hidden="false" customHeight="false" outlineLevel="0" collapsed="false">
      <c r="A10" s="266" t="n">
        <v>45352</v>
      </c>
      <c r="C10" s="267" t="n">
        <v>10000</v>
      </c>
      <c r="D10" s="8" t="n">
        <f aca="false">D9-C10</f>
        <v>278749.7118456</v>
      </c>
      <c r="E10" s="268" t="n">
        <v>10000</v>
      </c>
      <c r="F10" s="270"/>
      <c r="G10" s="270" t="s">
        <v>518</v>
      </c>
      <c r="H10" s="8" t="n">
        <f aca="false">H9-E10</f>
        <v>278749.7118456</v>
      </c>
    </row>
    <row r="11" customFormat="false" ht="12.75" hidden="false" customHeight="false" outlineLevel="0" collapsed="false">
      <c r="A11" s="266" t="n">
        <v>45383</v>
      </c>
      <c r="C11" s="267" t="n">
        <v>10000</v>
      </c>
      <c r="D11" s="8" t="n">
        <f aca="false">D10-C11</f>
        <v>268749.7118456</v>
      </c>
      <c r="E11" s="268" t="n">
        <v>10000</v>
      </c>
      <c r="F11" s="270"/>
      <c r="G11" s="270" t="s">
        <v>518</v>
      </c>
      <c r="H11" s="8" t="n">
        <f aca="false">H10-E11</f>
        <v>268749.7118456</v>
      </c>
    </row>
    <row r="12" customFormat="false" ht="12.75" hidden="false" customHeight="false" outlineLevel="0" collapsed="false">
      <c r="A12" s="266" t="n">
        <v>45413</v>
      </c>
      <c r="C12" s="267" t="n">
        <v>10000</v>
      </c>
      <c r="D12" s="8" t="n">
        <f aca="false">D11-C12</f>
        <v>258749.7118456</v>
      </c>
      <c r="E12" s="268" t="n">
        <v>10000</v>
      </c>
      <c r="F12" s="270"/>
      <c r="G12" s="270" t="s">
        <v>518</v>
      </c>
      <c r="H12" s="8" t="n">
        <f aca="false">H11-E12</f>
        <v>258749.7118456</v>
      </c>
    </row>
    <row r="13" customFormat="false" ht="12.75" hidden="false" customHeight="false" outlineLevel="0" collapsed="false">
      <c r="A13" s="266" t="n">
        <v>45444</v>
      </c>
      <c r="C13" s="267" t="n">
        <v>10000</v>
      </c>
      <c r="D13" s="8" t="n">
        <f aca="false">D12-C13</f>
        <v>248749.7118456</v>
      </c>
      <c r="E13" s="268" t="n">
        <v>10000</v>
      </c>
      <c r="G13" s="270" t="s">
        <v>518</v>
      </c>
      <c r="H13" s="8" t="n">
        <f aca="false">H12-E13</f>
        <v>248749.7118456</v>
      </c>
    </row>
    <row r="14" customFormat="false" ht="12.75" hidden="false" customHeight="false" outlineLevel="0" collapsed="false">
      <c r="A14" s="266" t="n">
        <v>45474</v>
      </c>
      <c r="C14" s="267" t="n">
        <v>10000</v>
      </c>
      <c r="D14" s="8" t="n">
        <f aca="false">D13-C14</f>
        <v>238749.7118456</v>
      </c>
      <c r="E14" s="268" t="n">
        <v>10000</v>
      </c>
      <c r="G14" s="270" t="s">
        <v>518</v>
      </c>
      <c r="H14" s="8" t="n">
        <f aca="false">H13-E14</f>
        <v>238749.7118456</v>
      </c>
    </row>
    <row r="15" customFormat="false" ht="12.75" hidden="false" customHeight="false" outlineLevel="0" collapsed="false">
      <c r="A15" s="266" t="n">
        <v>45505</v>
      </c>
      <c r="C15" s="267" t="n">
        <v>10000</v>
      </c>
      <c r="D15" s="8" t="n">
        <f aca="false">D14-C15</f>
        <v>228749.7118456</v>
      </c>
      <c r="F15" s="0" t="s">
        <v>519</v>
      </c>
      <c r="H15" s="8" t="n">
        <f aca="false">H14-E15</f>
        <v>238749.7118456</v>
      </c>
    </row>
    <row r="16" customFormat="false" ht="12.75" hidden="false" customHeight="false" outlineLevel="0" collapsed="false">
      <c r="A16" s="266" t="n">
        <v>45536</v>
      </c>
      <c r="C16" s="267" t="n">
        <v>10000</v>
      </c>
      <c r="D16" s="8" t="n">
        <f aca="false">D15-C16</f>
        <v>218749.7118456</v>
      </c>
      <c r="F16" s="0" t="s">
        <v>519</v>
      </c>
      <c r="H16" s="8" t="n">
        <f aca="false">H15-E16</f>
        <v>238749.7118456</v>
      </c>
    </row>
    <row r="17" customFormat="false" ht="12.75" hidden="false" customHeight="false" outlineLevel="0" collapsed="false">
      <c r="A17" s="266" t="n">
        <v>45566</v>
      </c>
      <c r="C17" s="267" t="n">
        <v>10000</v>
      </c>
      <c r="D17" s="8" t="n">
        <f aca="false">D16-C17</f>
        <v>208749.7118456</v>
      </c>
      <c r="F17" s="0" t="s">
        <v>519</v>
      </c>
      <c r="H17" s="8" t="n">
        <f aca="false">H16-E17</f>
        <v>238749.7118456</v>
      </c>
    </row>
    <row r="18" customFormat="false" ht="12.75" hidden="false" customHeight="false" outlineLevel="0" collapsed="false">
      <c r="A18" s="266" t="n">
        <v>45623</v>
      </c>
      <c r="B18" s="0" t="s">
        <v>334</v>
      </c>
      <c r="C18" s="267" t="n">
        <v>10000</v>
      </c>
      <c r="D18" s="8" t="n">
        <f aca="false">D17-C18</f>
        <v>198749.7118456</v>
      </c>
      <c r="E18" s="268" t="n">
        <v>40000</v>
      </c>
      <c r="H18" s="8" t="n">
        <f aca="false">H17-E18</f>
        <v>198749.7118456</v>
      </c>
    </row>
    <row r="19" customFormat="false" ht="12.75" hidden="false" customHeight="false" outlineLevel="0" collapsed="false">
      <c r="A19" s="266" t="n">
        <v>45627</v>
      </c>
      <c r="B19" s="0" t="s">
        <v>160</v>
      </c>
      <c r="C19" s="267" t="n">
        <v>11030.76</v>
      </c>
      <c r="D19" s="8" t="n">
        <f aca="false">D18-C19</f>
        <v>187718.9518456</v>
      </c>
      <c r="E19" s="268" t="n">
        <v>60000</v>
      </c>
      <c r="G19" s="313" t="s">
        <v>520</v>
      </c>
      <c r="H19" s="314" t="n">
        <f aca="false">H18-E19</f>
        <v>138749.7118456</v>
      </c>
    </row>
    <row r="20" customFormat="false" ht="12.75" hidden="false" customHeight="false" outlineLevel="0" collapsed="false">
      <c r="A20" s="266"/>
      <c r="C20" s="315"/>
      <c r="D20" s="316" t="s">
        <v>521</v>
      </c>
      <c r="E20" s="317" t="n">
        <f aca="false">SUM(E8:E19)</f>
        <v>170000</v>
      </c>
      <c r="H20" s="8"/>
    </row>
    <row r="21" customFormat="false" ht="12.75" hidden="false" customHeight="false" outlineLevel="0" collapsed="false">
      <c r="A21" s="266"/>
      <c r="C21" s="267"/>
      <c r="D21" s="8"/>
      <c r="E21" s="268"/>
      <c r="H21" s="8"/>
    </row>
    <row r="22" customFormat="false" ht="12.75" hidden="false" customHeight="false" outlineLevel="0" collapsed="false">
      <c r="C22" s="267"/>
      <c r="D22" s="8"/>
      <c r="G22" s="8"/>
      <c r="H22" s="264"/>
    </row>
    <row r="23" customFormat="false" ht="15" hidden="false" customHeight="false" outlineLevel="0" collapsed="false">
      <c r="B23" s="274" t="s">
        <v>489</v>
      </c>
      <c r="D23" s="275" t="n">
        <v>0.764616</v>
      </c>
      <c r="E23" s="275" t="n">
        <f aca="false">1-D23</f>
        <v>0.235384</v>
      </c>
      <c r="H23" s="264"/>
    </row>
    <row r="24" customFormat="false" ht="12.75" hidden="false" customHeight="false" outlineLevel="0" collapsed="false">
      <c r="A24" s="276" t="s">
        <v>25</v>
      </c>
      <c r="B24" s="276" t="s">
        <v>26</v>
      </c>
      <c r="C24" s="277" t="s">
        <v>490</v>
      </c>
      <c r="D24" s="278" t="s">
        <v>491</v>
      </c>
      <c r="E24" s="277" t="s">
        <v>492</v>
      </c>
      <c r="F24" s="318" t="s">
        <v>493</v>
      </c>
      <c r="G24" s="277" t="s">
        <v>494</v>
      </c>
      <c r="H24" s="280" t="s">
        <v>495</v>
      </c>
      <c r="I24" s="281" t="s">
        <v>496</v>
      </c>
    </row>
    <row r="25" customFormat="false" ht="12.75" hidden="false" customHeight="false" outlineLevel="0" collapsed="false">
      <c r="A25" s="282"/>
      <c r="B25" s="283" t="s">
        <v>498</v>
      </c>
      <c r="C25" s="284" t="n">
        <f aca="false">SUBTOTAL(109,C26:C40)</f>
        <v>804500.9</v>
      </c>
      <c r="D25" s="284" t="n">
        <f aca="false">SUBTOTAL(109,D26:D40)</f>
        <v>797500.9</v>
      </c>
      <c r="E25" s="284" t="n">
        <f aca="false">SUM(E26:E40)</f>
        <v>-1647.688</v>
      </c>
      <c r="F25" s="283"/>
      <c r="G25" s="284" t="n">
        <f aca="false">SUBTOTAL(109,$G$26:$G$40)</f>
        <v>-187718.9518456</v>
      </c>
      <c r="H25" s="284" t="n">
        <f aca="false">H26</f>
        <v>-187718.9518456</v>
      </c>
      <c r="J25" s="286"/>
    </row>
    <row r="26" customFormat="false" ht="12.75" hidden="false" customHeight="false" outlineLevel="0" collapsed="false">
      <c r="A26" s="287" t="n">
        <v>45656</v>
      </c>
      <c r="B26" s="0" t="s">
        <v>499</v>
      </c>
      <c r="C26" s="0" t="n">
        <v>-3999.1</v>
      </c>
      <c r="D26" s="288" t="n">
        <f aca="false">IF(F26=1,$C26,0)</f>
        <v>-3999.1</v>
      </c>
      <c r="E26" s="289" t="n">
        <f aca="false">IF(F26=0,C26*$E$23*-1,0)</f>
        <v>0</v>
      </c>
      <c r="F26" s="319" t="n">
        <v>1</v>
      </c>
      <c r="G26" s="288" t="n">
        <f aca="false">IF(F26=1,C26*$E$23*-1,0)</f>
        <v>941.3241544</v>
      </c>
      <c r="H26" s="264" t="n">
        <f aca="false">H27+G26</f>
        <v>-187718.9518456</v>
      </c>
      <c r="J26" s="286"/>
    </row>
    <row r="27" customFormat="false" ht="12.75" hidden="false" customHeight="false" outlineLevel="0" collapsed="false">
      <c r="A27" s="291"/>
      <c r="B27" s="320"/>
      <c r="C27" s="321"/>
      <c r="D27" s="288" t="n">
        <f aca="false">IF(F27=1,$C27,0)</f>
        <v>0</v>
      </c>
      <c r="E27" s="289" t="n">
        <f aca="false">IF(F27=0,C27*$E$23*-1,0)</f>
        <v>-0</v>
      </c>
      <c r="F27" s="319" t="n">
        <v>0</v>
      </c>
      <c r="G27" s="288" t="n">
        <f aca="false">IF(F27=1,C27*$E$23*-1,0)</f>
        <v>0</v>
      </c>
      <c r="H27" s="264" t="n">
        <f aca="false">H28+G27</f>
        <v>-188660.276</v>
      </c>
    </row>
    <row r="28" customFormat="false" ht="12.75" hidden="false" customHeight="false" outlineLevel="0" collapsed="false">
      <c r="A28" s="322"/>
      <c r="B28" s="323"/>
      <c r="C28" s="324"/>
      <c r="D28" s="288" t="n">
        <f aca="false">IF(F28=1,$C28,0)</f>
        <v>0</v>
      </c>
      <c r="E28" s="289" t="n">
        <f aca="false">IF(F28=0,C28*$E$23*-1,0)</f>
        <v>-0</v>
      </c>
      <c r="F28" s="319" t="n">
        <v>0</v>
      </c>
      <c r="G28" s="288" t="n">
        <f aca="false">IF(F28=1,C28*$E$23*-1,0)</f>
        <v>0</v>
      </c>
      <c r="H28" s="264" t="n">
        <f aca="false">H29+G28</f>
        <v>-188660.276</v>
      </c>
    </row>
    <row r="29" customFormat="false" ht="12.75" hidden="false" customHeight="false" outlineLevel="0" collapsed="false">
      <c r="A29" s="322" t="n">
        <v>45631</v>
      </c>
      <c r="B29" s="325" t="s">
        <v>522</v>
      </c>
      <c r="C29" s="326" t="n">
        <v>219000</v>
      </c>
      <c r="D29" s="327" t="n">
        <f aca="false">IF(F29=1,$C29,0)</f>
        <v>219000</v>
      </c>
      <c r="E29" s="289" t="n">
        <f aca="false">IF(F29=0,C29*$E$23*-1,0)</f>
        <v>0</v>
      </c>
      <c r="F29" s="319" t="n">
        <v>1</v>
      </c>
      <c r="G29" s="288" t="n">
        <f aca="false">IF(F29=1,C29*$E$23*-1,0)</f>
        <v>-51549.096</v>
      </c>
      <c r="H29" s="264" t="n">
        <f aca="false">H30+G29</f>
        <v>-188660.276</v>
      </c>
      <c r="I29" s="0" t="s">
        <v>523</v>
      </c>
    </row>
    <row r="30" customFormat="false" ht="12.75" hidden="false" customHeight="false" outlineLevel="0" collapsed="false">
      <c r="A30" s="291" t="n">
        <v>45607</v>
      </c>
      <c r="B30" s="328" t="s">
        <v>524</v>
      </c>
      <c r="C30" s="321" t="n">
        <v>148500</v>
      </c>
      <c r="D30" s="288" t="n">
        <f aca="false">IF(F30=1,$C30,0)</f>
        <v>148500</v>
      </c>
      <c r="E30" s="289" t="n">
        <f aca="false">IF(F30=0,C30*$E$23*-1,0)</f>
        <v>0</v>
      </c>
      <c r="F30" s="319" t="n">
        <v>1</v>
      </c>
      <c r="G30" s="288" t="n">
        <f aca="false">IF(F30=1,C30*$E$23*-1,0)</f>
        <v>-34954.524</v>
      </c>
      <c r="H30" s="264" t="n">
        <f aca="false">H31+G30</f>
        <v>-137111.18</v>
      </c>
    </row>
    <row r="31" customFormat="false" ht="12.75" hidden="false" customHeight="false" outlineLevel="0" collapsed="false">
      <c r="A31" s="291" t="n">
        <v>45405</v>
      </c>
      <c r="B31" s="329" t="s">
        <v>525</v>
      </c>
      <c r="C31" s="327" t="n">
        <v>33000</v>
      </c>
      <c r="D31" s="327" t="n">
        <f aca="false">IF(F31=1,$C31,0)</f>
        <v>33000</v>
      </c>
      <c r="E31" s="289" t="n">
        <f aca="false">IF(F31=0,C31*$E$23*-1,0)</f>
        <v>0</v>
      </c>
      <c r="F31" s="319" t="n">
        <v>1</v>
      </c>
      <c r="G31" s="288" t="n">
        <f aca="false">IF(F31=1,C31*$E$23*-1,0)</f>
        <v>-7767.672</v>
      </c>
      <c r="H31" s="264" t="n">
        <f aca="false">H32+G31</f>
        <v>-102156.656</v>
      </c>
    </row>
    <row r="32" customFormat="false" ht="12.75" hidden="false" customHeight="false" outlineLevel="0" collapsed="false">
      <c r="A32" s="291" t="n">
        <v>45405</v>
      </c>
      <c r="B32" s="320" t="s">
        <v>526</v>
      </c>
      <c r="C32" s="321" t="n">
        <v>170000</v>
      </c>
      <c r="D32" s="288" t="n">
        <f aca="false">IF(F32=1,$C32,0)</f>
        <v>170000</v>
      </c>
      <c r="E32" s="289" t="n">
        <f aca="false">IF(F32=0,C32*$E$23*-1,0)</f>
        <v>0</v>
      </c>
      <c r="F32" s="319" t="n">
        <v>1</v>
      </c>
      <c r="G32" s="288" t="n">
        <f aca="false">IF(F32=1,C32*$E$23*-1,0)</f>
        <v>-40015.28</v>
      </c>
      <c r="H32" s="264" t="n">
        <f aca="false">H33+G32</f>
        <v>-94388.984</v>
      </c>
    </row>
    <row r="33" customFormat="false" ht="12.75" hidden="false" customHeight="false" outlineLevel="0" collapsed="false">
      <c r="A33" s="291" t="n">
        <v>45405</v>
      </c>
      <c r="B33" s="320" t="s">
        <v>527</v>
      </c>
      <c r="C33" s="321" t="n">
        <v>-25000</v>
      </c>
      <c r="D33" s="288" t="n">
        <f aca="false">IF(F33=1,$C33,0)</f>
        <v>-25000</v>
      </c>
      <c r="E33" s="289" t="n">
        <f aca="false">IF(F33=0,C33*$E$23*-1,0)</f>
        <v>0</v>
      </c>
      <c r="F33" s="319" t="n">
        <v>1</v>
      </c>
      <c r="G33" s="288" t="n">
        <f aca="false">IF(F33=1,C33*$E$23*-1,0)</f>
        <v>5884.6</v>
      </c>
      <c r="H33" s="264" t="n">
        <f aca="false">H34+G33</f>
        <v>-54373.704</v>
      </c>
    </row>
    <row r="34" customFormat="false" ht="12.75" hidden="false" customHeight="false" outlineLevel="0" collapsed="false">
      <c r="A34" s="291" t="n">
        <v>45397</v>
      </c>
      <c r="B34" s="320" t="s">
        <v>528</v>
      </c>
      <c r="C34" s="321" t="n">
        <v>1000</v>
      </c>
      <c r="D34" s="288" t="n">
        <f aca="false">IF(F34=1,$C34,0)</f>
        <v>1000</v>
      </c>
      <c r="E34" s="289" t="n">
        <f aca="false">IF(F34=0,C34*$E$23*-1,0)</f>
        <v>0</v>
      </c>
      <c r="F34" s="319" t="n">
        <v>1</v>
      </c>
      <c r="G34" s="288" t="n">
        <f aca="false">IF(F34=1,C34*$E$23*-1,0)</f>
        <v>-235.384</v>
      </c>
      <c r="H34" s="264" t="n">
        <f aca="false">H35+G34</f>
        <v>-60258.304</v>
      </c>
    </row>
    <row r="35" customFormat="false" ht="12.75" hidden="false" customHeight="false" outlineLevel="0" collapsed="false">
      <c r="A35" s="322" t="n">
        <v>45397</v>
      </c>
      <c r="B35" s="329" t="s">
        <v>529</v>
      </c>
      <c r="C35" s="326" t="n">
        <v>85000</v>
      </c>
      <c r="D35" s="327" t="n">
        <f aca="false">IF(F35=1,$C35,0)</f>
        <v>85000</v>
      </c>
      <c r="E35" s="289" t="n">
        <f aca="false">IF(F35=0,C35*$E$23*-1,0)</f>
        <v>0</v>
      </c>
      <c r="F35" s="319" t="n">
        <v>1</v>
      </c>
      <c r="G35" s="288" t="n">
        <f aca="false">IF(F35=1,C35*$E$23*-1,0)</f>
        <v>-20007.64</v>
      </c>
      <c r="H35" s="264" t="n">
        <f aca="false">H36+G35</f>
        <v>-60022.92</v>
      </c>
    </row>
    <row r="36" customFormat="false" ht="12.75" hidden="false" customHeight="false" outlineLevel="0" collapsed="false">
      <c r="A36" s="287" t="n">
        <v>45321</v>
      </c>
      <c r="B36" s="330" t="s">
        <v>530</v>
      </c>
      <c r="C36" s="331" t="n">
        <v>7000</v>
      </c>
      <c r="D36" s="288" t="n">
        <f aca="false">IF(F36=1,$C36,0)</f>
        <v>0</v>
      </c>
      <c r="E36" s="289" t="n">
        <f aca="false">IF(F36=0,C36*$E$23*-1,0)</f>
        <v>-1647.688</v>
      </c>
      <c r="F36" s="319" t="n">
        <v>0</v>
      </c>
      <c r="G36" s="288" t="n">
        <f aca="false">IF(F36=1,C36*$E$23*-1,0)</f>
        <v>0</v>
      </c>
      <c r="H36" s="264" t="n">
        <f aca="false">H37+G36</f>
        <v>-40015.28</v>
      </c>
    </row>
    <row r="37" customFormat="false" ht="12.75" hidden="false" customHeight="false" outlineLevel="0" collapsed="false">
      <c r="A37" s="322"/>
      <c r="B37" s="329" t="s">
        <v>531</v>
      </c>
      <c r="C37" s="327" t="n">
        <v>24000</v>
      </c>
      <c r="D37" s="327" t="n">
        <f aca="false">IF(F37=1,$C37,0)</f>
        <v>24000</v>
      </c>
      <c r="E37" s="289" t="n">
        <f aca="false">IF(F37=0,C37*$E$23*-1,0)</f>
        <v>0</v>
      </c>
      <c r="F37" s="319" t="n">
        <v>1</v>
      </c>
      <c r="G37" s="288" t="n">
        <f aca="false">IF(F37=1,C37*$E$23*-1,0)</f>
        <v>-5649.216</v>
      </c>
      <c r="H37" s="264" t="n">
        <f aca="false">H38+G37</f>
        <v>-40015.28</v>
      </c>
    </row>
    <row r="38" customFormat="false" ht="12.75" hidden="false" customHeight="false" outlineLevel="0" collapsed="false">
      <c r="A38" s="322" t="n">
        <v>45296</v>
      </c>
      <c r="B38" s="323" t="s">
        <v>532</v>
      </c>
      <c r="C38" s="324" t="n">
        <v>26000</v>
      </c>
      <c r="D38" s="288" t="n">
        <f aca="false">IF(F38=1,$C38,0)</f>
        <v>26000</v>
      </c>
      <c r="E38" s="289" t="n">
        <f aca="false">IF(F38=0,C38*$E$23*-1,0)</f>
        <v>0</v>
      </c>
      <c r="F38" s="319" t="n">
        <v>1</v>
      </c>
      <c r="G38" s="288" t="n">
        <f aca="false">IF(F38=1,C38*$E$23*-1,0)</f>
        <v>-6119.984</v>
      </c>
      <c r="H38" s="264" t="n">
        <f aca="false">H39+G38</f>
        <v>-34366.064</v>
      </c>
    </row>
    <row r="39" customFormat="false" ht="12.75" hidden="false" customHeight="false" outlineLevel="0" collapsed="false">
      <c r="A39" s="291" t="n">
        <v>45295</v>
      </c>
      <c r="B39" s="323" t="s">
        <v>532</v>
      </c>
      <c r="C39" s="321" t="n">
        <v>120000</v>
      </c>
      <c r="D39" s="288" t="n">
        <f aca="false">IF(F39=1,$C39,0)</f>
        <v>120000</v>
      </c>
      <c r="E39" s="289" t="n">
        <f aca="false">IF(F39=0,C39*$E$23*-1,0)</f>
        <v>0</v>
      </c>
      <c r="F39" s="319" t="n">
        <v>1</v>
      </c>
      <c r="G39" s="288" t="n">
        <f aca="false">IF(F39=1,C39*$E$23*-1,0)</f>
        <v>-28246.08</v>
      </c>
      <c r="H39" s="264" t="n">
        <f aca="false">H40+G39</f>
        <v>-28246.08</v>
      </c>
    </row>
    <row r="40" customFormat="false" ht="12.75" hidden="false" customHeight="false" outlineLevel="0" collapsed="false">
      <c r="A40" s="295" t="n">
        <v>45292</v>
      </c>
      <c r="B40" s="296" t="s">
        <v>334</v>
      </c>
      <c r="C40" s="297"/>
      <c r="D40" s="288" t="n">
        <f aca="false">IF(F40=1,$C40,0)</f>
        <v>0</v>
      </c>
      <c r="E40" s="289" t="n">
        <f aca="false">IF(F40=0,C40*$E$23*-1,0)</f>
        <v>-0</v>
      </c>
      <c r="F40" s="332" t="n">
        <v>0</v>
      </c>
      <c r="G40" s="288" t="n">
        <f aca="false">IF(F40=1,C40*$E$23*-1,0)</f>
        <v>0</v>
      </c>
      <c r="H40" s="264" t="n">
        <f aca="false">G40</f>
        <v>0</v>
      </c>
    </row>
    <row r="42" customFormat="false" ht="12.75" hidden="false" customHeight="false" outlineLevel="0" collapsed="false">
      <c r="C42" s="264"/>
      <c r="D42" s="264"/>
      <c r="E42" s="264"/>
      <c r="G42" s="264"/>
      <c r="H42" s="264"/>
    </row>
    <row r="43" customFormat="false" ht="12.75" hidden="false" customHeight="false" outlineLevel="0" collapsed="false">
      <c r="C43" s="288" t="s">
        <v>503</v>
      </c>
      <c r="D43" s="264" t="s">
        <v>504</v>
      </c>
      <c r="E43" s="264" t="s">
        <v>505</v>
      </c>
      <c r="G43" s="299"/>
      <c r="H43" s="299"/>
      <c r="I43" s="300"/>
    </row>
    <row r="44" customFormat="false" ht="15" hidden="false" customHeight="false" outlineLevel="0" collapsed="false">
      <c r="B44" s="0" t="s">
        <v>506</v>
      </c>
      <c r="C44" s="301" t="n">
        <v>1</v>
      </c>
      <c r="D44" s="302" t="n">
        <f aca="false">D23</f>
        <v>0.764616</v>
      </c>
      <c r="E44" s="302" t="n">
        <f aca="false">1-D44</f>
        <v>0.235384</v>
      </c>
      <c r="H44" s="264"/>
    </row>
    <row r="45" customFormat="false" ht="12.75" hidden="false" customHeight="false" outlineLevel="0" collapsed="false">
      <c r="B45" s="0" t="s">
        <v>507</v>
      </c>
      <c r="C45" s="303" t="n">
        <f aca="false">$D$25*C44</f>
        <v>797500.9</v>
      </c>
      <c r="D45" s="304" t="n">
        <f aca="false">$D$25*D44</f>
        <v>609781.9481544</v>
      </c>
      <c r="E45" s="304" t="n">
        <f aca="false">$D$25*E44</f>
        <v>187718.9518456</v>
      </c>
      <c r="H45" s="264"/>
    </row>
    <row r="46" customFormat="false" ht="12.75" hidden="false" customHeight="false" outlineLevel="0" collapsed="false">
      <c r="B46" s="0" t="s">
        <v>508</v>
      </c>
      <c r="C46" s="288" t="n">
        <f aca="false">D46+E46</f>
        <v>797500.9</v>
      </c>
      <c r="D46" s="264" t="n">
        <f aca="false">C45-E46</f>
        <v>609781.9481544</v>
      </c>
      <c r="E46" s="264" t="n">
        <f aca="false">$H$25*-1</f>
        <v>187718.9518456</v>
      </c>
      <c r="G46" s="333"/>
      <c r="H46" s="264"/>
      <c r="J46" s="264"/>
    </row>
    <row r="47" customFormat="false" ht="12.75" hidden="false" customHeight="false" outlineLevel="0" collapsed="false">
      <c r="B47" s="0" t="s">
        <v>509</v>
      </c>
      <c r="C47" s="288" t="n">
        <f aca="false">C45-C46</f>
        <v>0</v>
      </c>
      <c r="D47" s="264" t="n">
        <f aca="false">D45-D46</f>
        <v>0</v>
      </c>
      <c r="E47" s="264" t="n">
        <f aca="false">E45-E46</f>
        <v>0</v>
      </c>
      <c r="G47" s="264"/>
      <c r="H47" s="264"/>
      <c r="J47" s="264"/>
    </row>
    <row r="48" customFormat="false" ht="12.75" hidden="false" customHeight="false" outlineLevel="0" collapsed="false">
      <c r="C48" s="305"/>
      <c r="D48" s="305"/>
      <c r="E48" s="305"/>
      <c r="G48" s="264"/>
      <c r="H48" s="264"/>
      <c r="J48" s="264"/>
    </row>
    <row r="49" customFormat="false" ht="12.75" hidden="false" customHeight="false" outlineLevel="0" collapsed="false">
      <c r="H49" s="264"/>
      <c r="J49" s="264"/>
    </row>
    <row r="50" customFormat="false" ht="12.75" hidden="false" customHeight="false" outlineLevel="0" collapsed="false">
      <c r="C50" s="6" t="s">
        <v>510</v>
      </c>
      <c r="D50" s="6" t="s">
        <v>511</v>
      </c>
      <c r="E50" s="6" t="s">
        <v>512</v>
      </c>
      <c r="G50" s="264"/>
      <c r="H50" s="264"/>
      <c r="J50" s="264"/>
    </row>
    <row r="51" customFormat="false" ht="12.75" hidden="false" customHeight="false" outlineLevel="0" collapsed="false">
      <c r="C51" s="264"/>
      <c r="D51" s="306"/>
      <c r="E51" s="264"/>
      <c r="H51" s="264"/>
      <c r="J51" s="264"/>
    </row>
    <row r="52" customFormat="false" ht="12.75" hidden="false" customHeight="false" outlineLevel="0" collapsed="false">
      <c r="B52" s="264" t="s">
        <v>514</v>
      </c>
      <c r="C52" s="264" t="n">
        <f aca="false">D46</f>
        <v>609781.9481544</v>
      </c>
      <c r="D52" s="54" t="n">
        <v>0.025</v>
      </c>
      <c r="E52" s="264" t="n">
        <f aca="false">C52*D52</f>
        <v>15244.54870386</v>
      </c>
      <c r="H52" s="264"/>
    </row>
    <row r="53" customFormat="false" ht="12.75" hidden="false" customHeight="false" outlineLevel="0" collapsed="false">
      <c r="E53" s="264"/>
      <c r="G53" s="264"/>
      <c r="H53" s="26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1019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2019-12-25T12:06:09Z</dcterms:created>
  <dc:creator>m</dc:creator>
  <dc:description/>
  <dc:language>tr-TR</dc:language>
  <cp:lastModifiedBy/>
  <cp:lastPrinted>2024-01-22T10:23:13Z</cp:lastPrinted>
  <dcterms:modified xsi:type="dcterms:W3CDTF">2026-10-07T16:36:16Z</dcterms:modified>
  <cp:revision>323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