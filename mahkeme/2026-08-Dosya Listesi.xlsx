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Sayfa5" sheetId="1" state="visible" r:id="rId3"/>
    <sheet name="hmb" sheetId="2" state="visible" r:id="rId4"/>
    <sheet name="AUB" sheetId="3" state="visible" r:id="rId5"/>
    <sheet name="Sayfa2" sheetId="4" state="visible" r:id="rId6"/>
    <sheet name="ali" sheetId="5" state="visible" r:id="rId7"/>
    <sheet name="atila" sheetId="6" state="visible" r:id="rId8"/>
    <sheet name="Sheet1" sheetId="7" state="visible" r:id="rId9"/>
    <sheet name="Sayfa1" sheetId="8" state="visible" r:id="rId10"/>
    <sheet name="Sayfa9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<sst xmlns="http://schemas.openxmlformats.org/spreadsheetml/2006/main" count="483" uniqueCount="295">
  <si>
    <t xml:space="preserve">OCAK-27</t>
  </si>
  <si>
    <t xml:space="preserve">4AH-hmb-maphre---- itoyota rav4</t>
  </si>
  <si>
    <t xml:space="preserve">2026/392</t>
  </si>
  <si>
    <t xml:space="preserve">ARALIK</t>
  </si>
  <si>
    <t xml:space="preserve">6AC hmb-rte</t>
  </si>
  <si>
    <t xml:space="preserve">2026/66</t>
  </si>
  <si>
    <t xml:space="preserve">KASIM</t>
  </si>
  <si>
    <t xml:space="preserve">2sh ali demirel - örnek 14</t>
  </si>
  <si>
    <t xml:space="preserve">2026/953</t>
  </si>
  <si>
    <t xml:space="preserve">EKİM</t>
  </si>
  <si>
    <t xml:space="preserve">İH-salih ant-ilamlı tahliye</t>
  </si>
  <si>
    <t xml:space="preserve">2026/289</t>
  </si>
  <si>
    <t xml:space="preserve">2sh metin çelik - örnek 13</t>
  </si>
  <si>
    <t xml:space="preserve">2025/559</t>
  </si>
  <si>
    <t xml:space="preserve">1sh samed turgut - örnek 13</t>
  </si>
  <si>
    <t xml:space="preserve">2025/263</t>
  </si>
  <si>
    <t xml:space="preserve">1sh samed turgut - örnek 14</t>
  </si>
  <si>
    <t xml:space="preserve">2025/264</t>
  </si>
  <si>
    <t xml:space="preserve">EYLÜL</t>
  </si>
  <si>
    <t xml:space="preserve">2025/269</t>
  </si>
  <si>
    <t xml:space="preserve">ali umut balcı</t>
  </si>
  <si>
    <t xml:space="preserve">tr180006400000158001621930</t>
  </si>
  <si>
    <t xml:space="preserve">hesap kapnış</t>
  </si>
  <si>
    <t xml:space="preserve">dava tarihi</t>
  </si>
  <si>
    <t xml:space="preserve">Dosya no</t>
  </si>
  <si>
    <t xml:space="preserve">tebliğ</t>
  </si>
  <si>
    <t xml:space="preserve">itiraz</t>
  </si>
  <si>
    <t xml:space="preserve">TL</t>
  </si>
  <si>
    <t xml:space="preserve">2025/15958</t>
  </si>
  <si>
    <t xml:space="preserve">Maphre-rahmi kesici – icra</t>
  </si>
  <si>
    <t xml:space="preserve">2.asl. 2024/124</t>
  </si>
  <si>
    <t xml:space="preserve">Maphre-rahmi kesici – 4.asliye</t>
  </si>
  <si>
    <t xml:space="preserve">tazminat</t>
  </si>
  <si>
    <t xml:space="preserve">bilirkişi raporu </t>
  </si>
  <si>
    <t xml:space="preserve">Duruşma 1-rapor itirazı</t>
  </si>
  <si>
    <t xml:space="preserve">önceki hasar kayıtları istenecek</t>
  </si>
  <si>
    <t xml:space="preserve">ek rapor istenecek</t>
  </si>
  <si>
    <t xml:space="preserve">bilirkişi raporu - ek</t>
  </si>
  <si>
    <t xml:space="preserve">Duruşma 2</t>
  </si>
  <si>
    <t xml:space="preserve">itirazlar</t>
  </si>
  <si>
    <t xml:space="preserve">bilirkişi raporuna itiraz edildi</t>
  </si>
  <si>
    <t xml:space="preserve">Duruşma 3</t>
  </si>
  <si>
    <t xml:space="preserve">2025/478</t>
  </si>
  <si>
    <t xml:space="preserve">mehmet şmşk-4.asliye ceza</t>
  </si>
  <si>
    <t xml:space="preserve">duruşma 1-</t>
  </si>
  <si>
    <t xml:space="preserve">tanıklar zorla dinlenecek</t>
  </si>
  <si>
    <t xml:space="preserve">tanıklarla olan dava dosyaları istencek</t>
  </si>
  <si>
    <t xml:space="preserve">Karar 1 yıl ceza – istinafa gidilecek</t>
  </si>
  <si>
    <t xml:space="preserve">RTE-6. asliye ceza</t>
  </si>
  <si>
    <t xml:space="preserve">Duruşma 1</t>
  </si>
  <si>
    <t xml:space="preserve"> Talep TL</t>
  </si>
  <si>
    <t xml:space="preserve">2025/19105</t>
  </si>
  <si>
    <t xml:space="preserve">samed turgut</t>
  </si>
  <si>
    <t xml:space="preserve">30-9-25*30-9-26 – 192500 TL</t>
  </si>
  <si>
    <t xml:space="preserve">Örnek 13 – icra – itiraz edildi</t>
  </si>
  <si>
    <t xml:space="preserve">DOSYA AÇILACAK</t>
  </si>
  <si>
    <t xml:space="preserve">2024/12483</t>
  </si>
  <si>
    <t xml:space="preserve">samed turgut icra</t>
  </si>
  <si>
    <t xml:space="preserve">30-9-2023-24 – 74000 TL</t>
  </si>
  <si>
    <t xml:space="preserve">Örnek 13 – icra – imzaya itiraz edildi</t>
  </si>
  <si>
    <t xml:space="preserve">2024/22182</t>
  </si>
  <si>
    <t xml:space="preserve">samed turgut – icra</t>
  </si>
  <si>
    <t xml:space="preserve">30-9-2024 – 137314 TL</t>
  </si>
  <si>
    <t xml:space="preserve">samed turgut - 2.sulh huku</t>
  </si>
  <si>
    <t xml:space="preserve">itirazın kaldırılması – 2024/12483 ve 2024/22182</t>
  </si>
  <si>
    <t xml:space="preserve">adli tıptan rapor talebi -samsun</t>
  </si>
  <si>
    <t xml:space="preserve">adli tıptan rapor talebi – istanbul</t>
  </si>
  <si>
    <t xml:space="preserve">imza toplanacak - adli tıptan rapor talebi -samsun</t>
  </si>
  <si>
    <t xml:space="preserve">samsundan pozitif rapor geldi</t>
  </si>
  <si>
    <t xml:space="preserve">duruşma</t>
  </si>
  <si>
    <t xml:space="preserve">2024/22053</t>
  </si>
  <si>
    <t xml:space="preserve">metin çelik – icra</t>
  </si>
  <si>
    <t xml:space="preserve">29-9-2024-25 – 156000 TL</t>
  </si>
  <si>
    <t xml:space="preserve">metin çelik – 2. sulh hukuk</t>
  </si>
  <si>
    <t xml:space="preserve">itirazın kaldırılması</t>
  </si>
  <si>
    <t xml:space="preserve">istenmiş</t>
  </si>
  <si>
    <t xml:space="preserve">1- 2 haftalık sürede ödeme makbuz tebliği</t>
  </si>
  <si>
    <t xml:space="preserve">2- bankadan teyidi</t>
  </si>
  <si>
    <t xml:space="preserve">3- hesap uzmanına yollama</t>
  </si>
  <si>
    <r>
      <rPr>
        <b val="true"/>
        <sz val="11"/>
        <color rgb="FFFF0000"/>
        <rFont val="Calibri"/>
        <family val="2"/>
        <charset val="1"/>
      </rPr>
      <t xml:space="preserve">duruşma</t>
    </r>
    <r>
      <rPr>
        <b val="true"/>
        <sz val="11"/>
        <rFont val="Calibri"/>
        <family val="0"/>
        <charset val="1"/>
      </rPr>
      <t xml:space="preserve"> Davacı vekilinin 30/09/2023-15/01/2025 tarihleri yönünden davasını alacak davası olarak ıslah ettiği, ıslah dilekçesine binaen bu yönde hesaplatma yapılması için dosyanın hesap uzmanı bilirkişisine tevdii</t>
    </r>
  </si>
  <si>
    <t xml:space="preserve">duruşma </t>
  </si>
  <si>
    <t xml:space="preserve">2024/21115</t>
  </si>
  <si>
    <t xml:space="preserve">samed turgut -icra</t>
  </si>
  <si>
    <t xml:space="preserve">Örnek 14-icra – imzaya itiraz edildi - tahliye edlck trh: 29-09-2024</t>
  </si>
  <si>
    <t xml:space="preserve">samed turgut – 1. sulh hukuk</t>
  </si>
  <si>
    <t xml:space="preserve">atıpraporu</t>
  </si>
  <si>
    <t xml:space="preserve">adli tıp raporunun beklenmesine</t>
  </si>
  <si>
    <t xml:space="preserve">rapor pozitif geldi</t>
  </si>
  <si>
    <t xml:space="preserve">29-9-2024 den günümüze kira tespiti yapılarak tazminat</t>
  </si>
  <si>
    <t xml:space="preserve">2024/12482</t>
  </si>
  <si>
    <t xml:space="preserve">salih ant – icra</t>
  </si>
  <si>
    <t xml:space="preserve">2024- 158437 TL</t>
  </si>
  <si>
    <t xml:space="preserve">Örnek 13-icra – imzaya itiraz edildi</t>
  </si>
  <si>
    <t xml:space="preserve">2025/560</t>
  </si>
  <si>
    <t xml:space="preserve">salih ant – 2.sulh hukuk</t>
  </si>
  <si>
    <t xml:space="preserve">yemin için duruşma günü</t>
  </si>
  <si>
    <t xml:space="preserve">Yemin duruşması - duruşma yapıldı. Tahliye kararı verildi</t>
  </si>
  <si>
    <t xml:space="preserve">dosya icra dosyası üzerinden devam edecek</t>
  </si>
  <si>
    <t xml:space="preserve">GERKEÇELİ KARAR YAZILDI. TEBLİGAT VE İSTİNAF BEKLENİYOR</t>
  </si>
  <si>
    <t xml:space="preserve">Tebligat yollandı</t>
  </si>
  <si>
    <t xml:space="preserve">Tebliğ edildi – 15 gün içinde 3 aylık kira bedeli yatırıp</t>
  </si>
  <si>
    <t xml:space="preserve">istinafa gidebilir</t>
  </si>
  <si>
    <t xml:space="preserve">1 eylül istinaf için son gün istinafa gitmezse tahliye</t>
  </si>
  <si>
    <t xml:space="preserve">işlemleri başalayacak. 2 eylül de itiraz edilemez.</t>
  </si>
  <si>
    <t xml:space="preserve">hhesaplarına haciz kondu çıkış için zorlanacak</t>
  </si>
  <si>
    <t xml:space="preserve">haciz kaldırıldı 31-12-2026 boşaltacakl</t>
  </si>
  <si>
    <t xml:space="preserve">2024/3369</t>
  </si>
  <si>
    <r>
      <rPr>
        <sz val="11"/>
        <rFont val="Calibri"/>
        <family val="2"/>
        <charset val="1"/>
      </rPr>
      <t xml:space="preserve">ali demirel </t>
    </r>
    <r>
      <rPr>
        <b val="true"/>
        <sz val="12"/>
        <rFont val="Calibri"/>
        <family val="2"/>
        <charset val="1"/>
      </rPr>
      <t xml:space="preserve">-icra</t>
    </r>
  </si>
  <si>
    <t xml:space="preserve">ayşe uyar</t>
  </si>
  <si>
    <t xml:space="preserve">Örnek 14 – itiraz edildi</t>
  </si>
  <si>
    <t xml:space="preserve">2024/362</t>
  </si>
  <si>
    <r>
      <rPr>
        <sz val="11"/>
        <rFont val="Calibri"/>
        <family val="2"/>
        <charset val="1"/>
      </rPr>
      <t xml:space="preserve">ali demirel –</t>
    </r>
    <r>
      <rPr>
        <b val="true"/>
        <sz val="11"/>
        <rFont val="Calibri"/>
        <family val="2"/>
        <charset val="1"/>
      </rPr>
      <t xml:space="preserve"> </t>
    </r>
    <r>
      <rPr>
        <b val="true"/>
        <sz val="12"/>
        <rFont val="Calibri"/>
        <family val="2"/>
        <charset val="1"/>
      </rPr>
      <t xml:space="preserve">2.sulh hukuk</t>
    </r>
    <r>
      <rPr>
        <sz val="11"/>
        <rFont val="Calibri"/>
        <family val="2"/>
        <charset val="1"/>
      </rPr>
      <t xml:space="preserve"> - Hakim:Zeynep KAYNAK GÖZÜKARA</t>
    </r>
  </si>
  <si>
    <t xml:space="preserve">dava reddedildi</t>
  </si>
  <si>
    <t xml:space="preserve">emrullah</t>
  </si>
  <si>
    <t xml:space="preserve">itirazın iptali</t>
  </si>
  <si>
    <t xml:space="preserve">istinaf başvurusu</t>
  </si>
  <si>
    <t xml:space="preserve">2025/1410 E.</t>
  </si>
  <si>
    <t xml:space="preserve">BAM -ali demirel </t>
  </si>
  <si>
    <t xml:space="preserve">2026/2750 K.</t>
  </si>
  <si>
    <t xml:space="preserve">BAM -ali demirel - İstinafın KABUL KARARI</t>
  </si>
  <si>
    <t xml:space="preserve">istinaf tan başvuru reddedildi dosya kaldığı yerden devam edecek</t>
  </si>
  <si>
    <t xml:space="preserve">2SH - Ali D- İtirazın iptali-istinaf usulden bozma-Hakim: Derya ARPA</t>
  </si>
  <si>
    <t xml:space="preserve">hızlandırma dilekçesi verildi</t>
  </si>
  <si>
    <t xml:space="preserve">kira tespit davası</t>
  </si>
  <si>
    <t xml:space="preserve">%1 ceza tazminatı ve hasar tazminatı</t>
  </si>
  <si>
    <t xml:space="preserve">Adalet Bakanlığı İnsan Hakları Tazminat Komisyonu</t>
  </si>
  <si>
    <t xml:space="preserve">Anayasa Mahkemesi Bireysel Başvurusu</t>
  </si>
  <si>
    <t xml:space="preserve">2026/3201</t>
  </si>
  <si>
    <t xml:space="preserve">Örnek 13 – icra – itiraz edilmedi</t>
  </si>
  <si>
    <t xml:space="preserve">talep</t>
  </si>
  <si>
    <t xml:space="preserve">6 araca haciz talebi</t>
  </si>
  <si>
    <t xml:space="preserve">tensip</t>
  </si>
  <si>
    <t xml:space="preserve">7 günlük itiraz süre başlangıcı</t>
  </si>
  <si>
    <t xml:space="preserve">bankalara haciz talebi</t>
  </si>
  <si>
    <t xml:space="preserve">emniyet haciz eklendi</t>
  </si>
  <si>
    <t xml:space="preserve">ziraat bankası 339000 TL haciz işlendi</t>
  </si>
  <si>
    <t xml:space="preserve">yapı krediden ödeme makbuzu yolladılar</t>
  </si>
  <si>
    <t xml:space="preserve">5-1-2026 tarihinde kapalı olan işbank hesabına havale</t>
  </si>
  <si>
    <t xml:space="preserve">İşbank tan yapı krediye aynı gün iade edilmiş</t>
  </si>
  <si>
    <t xml:space="preserve">para hesaba geçmemiş</t>
  </si>
  <si>
    <t xml:space="preserve">11-04-2026 ödeme yapacakmış</t>
  </si>
  <si>
    <t xml:space="preserve">hesap no istemediler</t>
  </si>
  <si>
    <t xml:space="preserve">30-04-2026 boşaltacakmış</t>
  </si>
  <si>
    <t xml:space="preserve">yatan para</t>
  </si>
  <si>
    <t xml:space="preserve">Avukattan 375000 TL umuta havale geldi</t>
  </si>
  <si>
    <t xml:space="preserve">salih ant icraya 480000 TL ödeme yapmış</t>
  </si>
  <si>
    <t xml:space="preserve">tahliye henüz olmadı</t>
  </si>
  <si>
    <t xml:space="preserve">DOSYA KAPANDI</t>
  </si>
  <si>
    <t xml:space="preserve">talep tebliğ tarihi</t>
  </si>
  <si>
    <t xml:space="preserve">ödeme tarihi - ödeme 30 gün içinde yapılmadığı için temerrüt</t>
  </si>
  <si>
    <t xml:space="preserve">dosya hatalı kapatıldığını farkettim</t>
  </si>
  <si>
    <t xml:space="preserve">avukat işlem başlatacak</t>
  </si>
  <si>
    <t xml:space="preserve">salih ant - icra hukuk - 2026/3201 den tahliye talebi</t>
  </si>
  <si>
    <t xml:space="preserve">İcra hukuk</t>
  </si>
  <si>
    <t xml:space="preserve">kiralananın tahliyesi-icra</t>
  </si>
  <si>
    <t xml:space="preserve">ön inceleme duruşması</t>
  </si>
  <si>
    <t xml:space="preserve">2025/1266</t>
  </si>
  <si>
    <t xml:space="preserve">salih ant</t>
  </si>
  <si>
    <t xml:space="preserve">Örnek 14 – icra – itiraz edildi</t>
  </si>
  <si>
    <t xml:space="preserve">İtirazın kaldırılması için dava açılmadı</t>
  </si>
  <si>
    <t xml:space="preserve">tahliye</t>
  </si>
  <si>
    <t xml:space="preserve">2024/12481</t>
  </si>
  <si>
    <t xml:space="preserve">metin çelik</t>
  </si>
  <si>
    <t xml:space="preserve">Örnek 14-icra – imzaya itiraz edildi</t>
  </si>
  <si>
    <t xml:space="preserve">2024/21114</t>
  </si>
  <si>
    <t xml:space="preserve">Örnek 14 – icra</t>
  </si>
  <si>
    <t xml:space="preserve">2024/9993</t>
  </si>
  <si>
    <t xml:space="preserve">merdal kipel</t>
  </si>
  <si>
    <t xml:space="preserve">Örnek 13 – icra</t>
  </si>
  <si>
    <t xml:space="preserve">2023/20377</t>
  </si>
  <si>
    <t xml:space="preserve">ali demirel</t>
  </si>
  <si>
    <t xml:space="preserve">2023-12938</t>
  </si>
  <si>
    <t xml:space="preserve">ahmet ilter</t>
  </si>
  <si>
    <t xml:space="preserve">İzinsiz devir</t>
  </si>
  <si>
    <t xml:space="preserve">2023/64</t>
  </si>
  <si>
    <t xml:space="preserve">2021/5526</t>
  </si>
  <si>
    <t xml:space="preserve">dursun durmuş</t>
  </si>
  <si>
    <t xml:space="preserve">2025/</t>
  </si>
  <si>
    <t xml:space="preserve">murat çalışkan – icra</t>
  </si>
  <si>
    <t xml:space="preserve">2026/</t>
  </si>
  <si>
    <t xml:space="preserve">adem kesici – icra</t>
  </si>
  <si>
    <t xml:space="preserve">Dosya Listesi</t>
  </si>
  <si>
    <t xml:space="preserve">dosya</t>
  </si>
  <si>
    <t xml:space="preserve">Tarih</t>
  </si>
  <si>
    <t xml:space="preserve">açılacak</t>
  </si>
  <si>
    <t xml:space="preserve">alidemirel</t>
  </si>
  <si>
    <t xml:space="preserve">327.mdd</t>
  </si>
  <si>
    <t xml:space="preserve">sulh hukuk</t>
  </si>
  <si>
    <t xml:space="preserve">slh ant</t>
  </si>
  <si>
    <t xml:space="preserve">itrz.ipt</t>
  </si>
  <si>
    <t xml:space="preserve">2025/61</t>
  </si>
  <si>
    <t xml:space="preserve">hmb ceza</t>
  </si>
  <si>
    <t xml:space="preserve">5. asliye ceza</t>
  </si>
  <si>
    <t xml:space="preserve">mtn çlk</t>
  </si>
  <si>
    <t xml:space="preserve">2.sulh hukuk</t>
  </si>
  <si>
    <t xml:space="preserve">2025-560</t>
  </si>
  <si>
    <t xml:space="preserve">smt trgt</t>
  </si>
  <si>
    <t xml:space="preserve">1.sulh hukuk</t>
  </si>
  <si>
    <t xml:space="preserve">Dosya No</t>
  </si>
  <si>
    <t xml:space="preserve">Açlş</t>
  </si>
  <si>
    <t xml:space="preserve">Karar</t>
  </si>
  <si>
    <t xml:space="preserve">Arablc.No</t>
  </si>
  <si>
    <t xml:space="preserve">Arablc.Trh</t>
  </si>
  <si>
    <t xml:space="preserve">ö14</t>
  </si>
  <si>
    <t xml:space="preserve">itrz</t>
  </si>
  <si>
    <t xml:space="preserve">2024-362</t>
  </si>
  <si>
    <t xml:space="preserve">sh-itrzipt</t>
  </si>
  <si>
    <t xml:space="preserve">red</t>
  </si>
  <si>
    <t xml:space="preserve">BAM</t>
  </si>
  <si>
    <t xml:space="preserve">BAMa başvuru yapıldı</t>
  </si>
  <si>
    <t xml:space="preserve">AliDemirel</t>
  </si>
  <si>
    <t xml:space="preserve">sözleşmenin fesih edildiği</t>
  </si>
  <si>
    <t xml:space="preserve">2025/29356</t>
  </si>
  <si>
    <t xml:space="preserve">dosya açılacak</t>
  </si>
  <si>
    <t xml:space="preserve">smtrgt</t>
  </si>
  <si>
    <t xml:space="preserve">icr-ö13</t>
  </si>
  <si>
    <t xml:space="preserve">2025/20896</t>
  </si>
  <si>
    <t xml:space="preserve">2025/34</t>
  </si>
  <si>
    <t xml:space="preserve">sh-itrzipt - tmerrüt nedeniyle tahliye</t>
  </si>
  <si>
    <t xml:space="preserve">ada-parsel - kira sözl -  damga vergisi</t>
  </si>
  <si>
    <t xml:space="preserve">2 hafta</t>
  </si>
  <si>
    <t xml:space="preserve">(13) SZL + TAAHHÜT(???) - (9) tapu -(11) damga V</t>
  </si>
  <si>
    <t xml:space="preserve">tebliğ + 2 hafta</t>
  </si>
  <si>
    <t xml:space="preserve">deliller</t>
  </si>
  <si>
    <t xml:space="preserve">(11) damga V</t>
  </si>
  <si>
    <t xml:space="preserve">davalı cexap dilekçesi vermedi</t>
  </si>
  <si>
    <t xml:space="preserve">tapu ve sözleşme yollandı</t>
  </si>
  <si>
    <t xml:space="preserve">ön inceleme</t>
  </si>
  <si>
    <t xml:space="preserve">taahhüt isteniyor ????</t>
  </si>
  <si>
    <t xml:space="preserve">(14) dekont - (13) szl + tahh(??)</t>
  </si>
  <si>
    <t xml:space="preserve">icr-ö14</t>
  </si>
  <si>
    <t xml:space="preserve">2024/398</t>
  </si>
  <si>
    <t xml:space="preserve">2024/202930</t>
  </si>
  <si>
    <t xml:space="preserve">sh-itrzipt-taahhüt nedeniyle tahliye</t>
  </si>
  <si>
    <t xml:space="preserve">(13) SZL + TAAHHÜT - (9) tapu -(11) damga V</t>
  </si>
  <si>
    <t xml:space="preserve">tebliğe çıkmış</t>
  </si>
  <si>
    <t xml:space="preserve">tapu, sözleşme ve taahhüt yollandı</t>
  </si>
  <si>
    <t xml:space="preserve">(14) dekont - (10) szl + taahhüt</t>
  </si>
  <si>
    <t xml:space="preserve">salihant</t>
  </si>
  <si>
    <t xml:space="preserve">2025/21318</t>
  </si>
  <si>
    <t xml:space="preserve">2025/33</t>
  </si>
  <si>
    <r>
      <rPr>
        <sz val="11"/>
        <rFont val="Calibri"/>
        <family val="2"/>
        <charset val="1"/>
      </rPr>
      <t xml:space="preserve">sh2-itrzipt </t>
    </r>
    <r>
      <rPr>
        <b val="true"/>
        <sz val="11"/>
        <rFont val="Calibri"/>
        <family val="2"/>
        <charset val="1"/>
      </rPr>
      <t xml:space="preserve">sadece 182.437 TL için</t>
    </r>
    <r>
      <rPr>
        <sz val="11"/>
        <rFont val="Calibri"/>
        <family val="2"/>
        <charset val="1"/>
      </rPr>
      <t xml:space="preserve"> </t>
    </r>
  </si>
  <si>
    <t xml:space="preserve">ada-parsel - kira sözl -  dsmgs vergisi</t>
  </si>
  <si>
    <t xml:space="preserve">2024/12482 icra</t>
  </si>
  <si>
    <t xml:space="preserve">(13) SZL - (9) tapu -(11) damga V</t>
  </si>
  <si>
    <t xml:space="preserve">tebliğ edlmş</t>
  </si>
  <si>
    <t xml:space="preserve">davalı cevap</t>
  </si>
  <si>
    <t xml:space="preserve">kiraya veren hmb</t>
  </si>
  <si>
    <t xml:space="preserve">8-1-2024 'te AUB'a 24000 TL kira ödemesi var</t>
  </si>
  <si>
    <t xml:space="preserve">(3) 04.06.2024 tarihli ceza tutanağı</t>
  </si>
  <si>
    <t xml:space="preserve">cezanın ihtirazı kayıtla yatırıldığı</t>
  </si>
  <si>
    <t xml:space="preserve">(4) yemin teklifi hmb</t>
  </si>
  <si>
    <t xml:space="preserve">kira ödemesi AUBa yapılmış</t>
  </si>
  <si>
    <t xml:space="preserve"> (10) szl </t>
  </si>
  <si>
    <t xml:space="preserve">imza</t>
  </si>
  <si>
    <t xml:space="preserve">hsp hrkt ve no</t>
  </si>
  <si>
    <t xml:space="preserve">2025/43</t>
  </si>
  <si>
    <t xml:space="preserve">2025/25158</t>
  </si>
  <si>
    <t xml:space="preserve">mtnçlk</t>
  </si>
  <si>
    <t xml:space="preserve">2025/21077</t>
  </si>
  <si>
    <t xml:space="preserve">2025/35</t>
  </si>
  <si>
    <t xml:space="preserve">2025-559</t>
  </si>
  <si>
    <t xml:space="preserve">sh2-itrzipt</t>
  </si>
  <si>
    <t xml:space="preserve">cevap</t>
  </si>
  <si>
    <t xml:space="preserve">2024/22053 te 2024-25 156000 takip başlatılmış</t>
  </si>
  <si>
    <t xml:space="preserve">2025/559 dava dilekçesinde 2023 kirası talep ediliyor</t>
  </si>
  <si>
    <t xml:space="preserve">önceki yıl ödemeleri AUBa yyapıldı</t>
  </si>
  <si>
    <t xml:space="preserve">sözl aslı verilecek</t>
  </si>
  <si>
    <t xml:space="preserve">2024/397</t>
  </si>
  <si>
    <t xml:space="preserve">kendi tahliye etti 15-01-2025</t>
  </si>
  <si>
    <t xml:space="preserve">2024/203836</t>
  </si>
  <si>
    <t xml:space="preserve">dava edilmedi</t>
  </si>
  <si>
    <t xml:space="preserve">mrdlkpl</t>
  </si>
  <si>
    <t xml:space="preserve">KBL</t>
  </si>
  <si>
    <t xml:space="preserve">dava</t>
  </si>
  <si>
    <t xml:space="preserve">2024/217</t>
  </si>
  <si>
    <t xml:space="preserve">sh-istnf</t>
  </si>
  <si>
    <t xml:space="preserve">bam</t>
  </si>
  <si>
    <t xml:space="preserve">2024/2390</t>
  </si>
  <si>
    <t xml:space="preserve">kesinleşti</t>
  </si>
  <si>
    <t xml:space="preserve">icr-thly</t>
  </si>
  <si>
    <t xml:space="preserve">çıktı</t>
  </si>
  <si>
    <t xml:space="preserve">2025/12081 </t>
  </si>
  <si>
    <t xml:space="preserve">soruşturma</t>
  </si>
  <si>
    <t xml:space="preserve">tehdit</t>
  </si>
  <si>
    <t xml:space="preserve">2025/10342</t>
  </si>
  <si>
    <t xml:space="preserve">cmhrbşk</t>
  </si>
  <si>
    <t xml:space="preserve">2025/1676</t>
  </si>
  <si>
    <t xml:space="preserve">iddianae</t>
  </si>
  <si>
    <t xml:space="preserve">2025/2221</t>
  </si>
  <si>
    <t xml:space="preserve">TCK 125-3A</t>
  </si>
  <si>
    <t xml:space="preserve">TCK 53-1</t>
  </si>
  <si>
    <t xml:space="preserve">salih-ali-duran-samed-umut</t>
  </si>
  <si>
    <t xml:space="preserve">toyota</t>
  </si>
  <si>
    <t xml:space="preserve">2025/668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</si>
</sst>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/mm\/yy"/>
    <numFmt numFmtId="166" formatCode="@"/>
    <numFmt numFmtId="167" formatCode="hh:mm"/>
    <numFmt numFmtId="168" formatCode="dd/mm/yy;@"/>
    <numFmt numFmtId="169" formatCode="dd/mm/yyyy"/>
    <numFmt numFmtId="170" formatCode="hh:mm:ss"/>
    <numFmt numFmtId="171" formatCode="dd/mmm"/>
    <numFmt numFmtId="172" formatCode="_-* #,##0.00_-;\-* #,##0.00_-;_-* \-??_-;_-@_-"/>
    <numFmt numFmtId="173" formatCode="#,##0.00"/>
  </numFmts>
  <fonts count="4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C9211E"/>
      <name val="Calibri"/>
      <family val="0"/>
      <charset val="1"/>
    </font>
    <font>
      <sz val="11"/>
      <color theme="5" tint="0.7998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C9211E"/>
      <name val="Calibri"/>
      <family val="2"/>
      <charset val="1"/>
    </font>
    <font>
      <b val="true"/>
      <i val="true"/>
      <u val="double"/>
      <sz val="11"/>
      <color rgb="FFC9211E"/>
      <name val="Calibri"/>
      <family val="0"/>
      <charset val="1"/>
    </font>
    <font>
      <u val="double"/>
      <sz val="11"/>
      <name val="Calibri"/>
      <family val="2"/>
      <charset val="1"/>
    </font>
    <font>
      <u val="double"/>
      <sz val="11"/>
      <name val="Calibri"/>
      <family val="0"/>
      <charset val="1"/>
    </font>
    <font>
      <b val="true"/>
      <u val="single"/>
      <sz val="11"/>
      <name val="Calibri"/>
      <family val="0"/>
      <charset val="1"/>
    </font>
    <font>
      <b val="true"/>
      <u val="single"/>
      <sz val="11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u val="single"/>
      <sz val="11"/>
      <color rgb="FFFF0000"/>
      <name val="Calibri"/>
      <family val="2"/>
      <charset val="1"/>
    </font>
    <font>
      <b val="true"/>
      <sz val="12"/>
      <name val="Times New Roman"/>
      <family val="1"/>
      <charset val="1"/>
    </font>
    <font>
      <b val="true"/>
      <sz val="10.5"/>
      <name val="Arial"/>
      <family val="2"/>
      <charset val="1"/>
    </font>
    <font>
      <b val="true"/>
      <u val="double"/>
      <sz val="11"/>
      <name val="Calibri"/>
      <family val="0"/>
      <charset val="1"/>
    </font>
    <font>
      <b val="true"/>
      <sz val="11"/>
      <color rgb="FF999999"/>
      <name val="Calibri"/>
      <family val="0"/>
      <charset val="1"/>
    </font>
    <font>
      <b val="true"/>
      <sz val="11"/>
      <color rgb="FF999999"/>
      <name val="Calibri"/>
      <family val="2"/>
      <charset val="1"/>
    </font>
    <font>
      <sz val="11"/>
      <color rgb="FF999999"/>
      <name val="Calibri"/>
      <family val="0"/>
      <charset val="1"/>
    </font>
    <font>
      <sz val="11"/>
      <color rgb="FF999999"/>
      <name val="Calibri"/>
      <family val="2"/>
      <charset val="1"/>
    </font>
    <font>
      <b val="true"/>
      <sz val="11"/>
      <color theme="7" tint="0.7998"/>
      <name val="Calibri"/>
      <family val="2"/>
      <charset val="1"/>
    </font>
    <font>
      <b val="true"/>
      <i val="true"/>
      <u val="single"/>
      <sz val="11"/>
      <color rgb="FFC00000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b val="true"/>
      <sz val="11"/>
      <color theme="5"/>
      <name val="Calibri"/>
      <family val="2"/>
      <charset val="1"/>
    </font>
    <font>
      <sz val="12"/>
      <color theme="1"/>
      <name val="Calibri"/>
      <family val="2"/>
      <charset val="1"/>
    </font>
    <font>
      <b val="true"/>
      <u val="single"/>
      <sz val="11"/>
      <color theme="5" tint="-0.25"/>
      <name val="Calibri"/>
      <family val="2"/>
      <charset val="1"/>
    </font>
    <font>
      <u val="single"/>
      <sz val="11"/>
      <color theme="5" tint="-0.25"/>
      <name val="Calibri"/>
      <family val="2"/>
      <charset val="1"/>
    </font>
    <font>
      <sz val="11"/>
      <color theme="5" tint="-0.25"/>
      <name val="Calibri"/>
      <family val="2"/>
      <charset val="1"/>
    </font>
    <font>
      <b val="true"/>
      <sz val="11"/>
      <color theme="5" tint="-0.25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sz val="11"/>
      <color theme="7" tint="0.3996"/>
      <name val="Calibri"/>
      <family val="2"/>
      <charset val="1"/>
    </font>
    <font>
      <sz val="11"/>
      <color theme="7" tint="0.7998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1"/>
      <color rgb="FFFFFF00"/>
      <name val="Calibri"/>
      <family val="2"/>
      <charset val="1"/>
    </font>
    <font>
      <sz val="12"/>
      <color rgb="FFFFFF00"/>
      <name val="Calibri"/>
      <family val="2"/>
      <charset val="1"/>
    </font>
    <font>
      <u val="single"/>
      <sz val="11"/>
      <name val="Calibri"/>
      <family val="2"/>
      <charset val="1"/>
    </font>
    <font>
      <u val="single"/>
      <sz val="11"/>
      <color theme="7" tint="0.7998"/>
      <name val="Calibri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FFE994"/>
        <bgColor rgb="FFFFE699"/>
      </patternFill>
    </fill>
    <fill>
      <patternFill patternType="solid">
        <fgColor theme="7" tint="0.7998"/>
        <bgColor rgb="FFFBE5D6"/>
      </patternFill>
    </fill>
    <fill>
      <patternFill patternType="solid">
        <fgColor rgb="FF81D41A"/>
        <bgColor rgb="FF92D050"/>
      </patternFill>
    </fill>
    <fill>
      <patternFill patternType="solid">
        <fgColor rgb="FFFF0000"/>
        <bgColor rgb="FFF10D0C"/>
      </patternFill>
    </fill>
    <fill>
      <patternFill patternType="solid">
        <fgColor rgb="FFFFFF00"/>
        <bgColor rgb="FFFFD966"/>
      </patternFill>
    </fill>
    <fill>
      <patternFill patternType="solid">
        <fgColor theme="7"/>
        <bgColor rgb="FFFFD966"/>
      </patternFill>
    </fill>
    <fill>
      <patternFill patternType="solid">
        <fgColor rgb="FFF10D0C"/>
        <bgColor rgb="FFFF0000"/>
      </patternFill>
    </fill>
    <fill>
      <patternFill patternType="solid">
        <fgColor rgb="FF92D050"/>
        <bgColor rgb="FF81D41A"/>
      </patternFill>
    </fill>
    <fill>
      <patternFill patternType="solid">
        <fgColor theme="9" tint="0.5998"/>
        <bgColor rgb="FFDDE8CB"/>
      </patternFill>
    </fill>
    <fill>
      <patternFill patternType="solid">
        <fgColor theme="9" tint="0.3998"/>
        <bgColor rgb="FFC5E0B4"/>
      </patternFill>
    </fill>
    <fill>
      <patternFill patternType="solid">
        <fgColor rgb="FFFF860D"/>
        <bgColor rgb="FFED7D31"/>
      </patternFill>
    </fill>
    <fill>
      <patternFill patternType="solid">
        <fgColor rgb="FFCCCCCC"/>
        <bgColor rgb="FFB4C7DC"/>
      </patternFill>
    </fill>
    <fill>
      <patternFill patternType="solid">
        <fgColor rgb="FFDDE8CB"/>
        <bgColor rgb="FFE2F0D9"/>
      </patternFill>
    </fill>
    <fill>
      <patternFill patternType="solid">
        <fgColor rgb="FFDDDDDD"/>
        <bgColor rgb="FFDDE8CB"/>
      </patternFill>
    </fill>
    <fill>
      <patternFill patternType="solid">
        <fgColor rgb="FFB4C7DC"/>
        <bgColor rgb="FF9DC3E6"/>
      </patternFill>
    </fill>
    <fill>
      <patternFill patternType="solid">
        <fgColor theme="5" tint="0.7998"/>
        <bgColor rgb="FFFFF2CC"/>
      </patternFill>
    </fill>
    <fill>
      <patternFill patternType="solid">
        <fgColor theme="9" tint="0.7998"/>
        <bgColor rgb="FFDDE8CB"/>
      </patternFill>
    </fill>
    <fill>
      <patternFill patternType="solid">
        <fgColor theme="8" tint="0.7998"/>
        <bgColor rgb="FFE2F0D9"/>
      </patternFill>
    </fill>
    <fill>
      <patternFill patternType="solid">
        <fgColor theme="8" tint="0.3996"/>
        <bgColor rgb="FFB4C7DC"/>
      </patternFill>
    </fill>
    <fill>
      <patternFill patternType="solid">
        <fgColor theme="5" tint="0.3996"/>
        <bgColor rgb="FFFFD966"/>
      </patternFill>
    </fill>
    <fill>
      <patternFill patternType="solid">
        <fgColor rgb="FFC00000"/>
        <bgColor rgb="FFC9211E"/>
      </patternFill>
    </fill>
    <fill>
      <patternFill patternType="solid">
        <fgColor theme="7" tint="0.5996"/>
        <bgColor rgb="FFFFE994"/>
      </patternFill>
    </fill>
    <fill>
      <patternFill patternType="solid">
        <fgColor theme="9" tint="-0.5"/>
        <bgColor rgb="FF333300"/>
      </patternFill>
    </fill>
    <fill>
      <patternFill patternType="solid">
        <fgColor theme="9" tint="-0.25"/>
        <bgColor rgb="FF339966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1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11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1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1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1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1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1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1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1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6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18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" fillId="2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18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9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1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1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18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34" fillId="1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34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1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1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18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31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31" fillId="19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1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1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32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1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2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3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CCCCC"/>
      <rgbColor rgb="FF92D050"/>
      <rgbColor rgb="FFA9D18E"/>
      <rgbColor rgb="FFC55A11"/>
      <rgbColor rgb="FFFFF2CC"/>
      <rgbColor rgb="FFDEEBF7"/>
      <rgbColor rgb="FF660066"/>
      <rgbColor rgb="FFFF8080"/>
      <rgbColor rgb="FF0066CC"/>
      <rgbColor rgb="FFB4C7DC"/>
      <rgbColor rgb="FF000080"/>
      <rgbColor rgb="FFFF00FF"/>
      <rgbColor rgb="FFFFE699"/>
      <rgbColor rgb="FF00FFFF"/>
      <rgbColor rgb="FF800080"/>
      <rgbColor rgb="FFF10D0C"/>
      <rgbColor rgb="FF008080"/>
      <rgbColor rgb="FF0000FF"/>
      <rgbColor rgb="FF00CCFF"/>
      <rgbColor rgb="FFDDE8CB"/>
      <rgbColor rgb="FFE2F0D9"/>
      <rgbColor rgb="FFFFE994"/>
      <rgbColor rgb="FF9DC3E6"/>
      <rgbColor rgb="FFF4B183"/>
      <rgbColor rgb="FFDDDDDD"/>
      <rgbColor rgb="FFFFD966"/>
      <rgbColor rgb="FF3366FF"/>
      <rgbColor rgb="FFC5E0B4"/>
      <rgbColor rgb="FF81D41A"/>
      <rgbColor rgb="FFFFC000"/>
      <rgbColor rgb="FFFF860D"/>
      <rgbColor rgb="FFED7D31"/>
      <rgbColor rgb="FF666699"/>
      <rgbColor rgb="FF999999"/>
      <rgbColor rgb="FF003366"/>
      <rgbColor rgb="FF339966"/>
      <rgbColor rgb="FF003300"/>
      <rgbColor rgb="FF333300"/>
      <rgbColor rgb="FFC9211E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I6" activeCellId="0" sqref="I6"/>
    </sheetView>
  </sheetViews>
  <sheetFormatPr defaultColWidth="10.14453125" defaultRowHeight="15" customHeight="false" zeroHeight="false" outlineLevelRow="0" outlineLevelCol="0"/>
  <cols>
    <col collapsed="false" customWidth="true" hidden="false" outlineLevel="0" max="2" min="2" style="1" width="8.39"/>
    <col collapsed="false" customWidth="true" hidden="false" outlineLevel="0" max="3" min="3" style="1" width="0.94"/>
    <col collapsed="false" customWidth="true" hidden="false" outlineLevel="0" max="4" min="4" style="2" width="28.56"/>
    <col collapsed="false" customWidth="true" hidden="false" outlineLevel="0" max="5" min="5" style="0" width="6.31"/>
    <col collapsed="false" customWidth="true" hidden="false" outlineLevel="0" max="6" min="6" style="0" width="1.12"/>
  </cols>
  <sheetData>
    <row r="1" customFormat="false" ht="15" hidden="false" customHeight="false" outlineLevel="0" collapsed="false">
      <c r="B1" s="3" t="s">
        <v>0</v>
      </c>
    </row>
    <row r="2" customFormat="false" ht="15" hidden="false" customHeight="false" outlineLevel="0" collapsed="false">
      <c r="B2" s="4" t="n">
        <v>46399</v>
      </c>
      <c r="C2" s="4"/>
      <c r="D2" s="2" t="s">
        <v>1</v>
      </c>
      <c r="E2" s="5" t="n">
        <v>0.416666666666667</v>
      </c>
      <c r="F2" s="5"/>
      <c r="G2" s="2" t="s">
        <v>2</v>
      </c>
    </row>
    <row r="3" customFormat="false" ht="15" hidden="false" customHeight="false" outlineLevel="0" collapsed="false">
      <c r="B3" s="6" t="s">
        <v>3</v>
      </c>
      <c r="C3" s="6"/>
    </row>
    <row r="4" customFormat="false" ht="15" hidden="false" customHeight="false" outlineLevel="0" collapsed="false">
      <c r="B4" s="1" t="n">
        <v>46378</v>
      </c>
      <c r="D4" s="2" t="s">
        <v>4</v>
      </c>
      <c r="E4" s="5" t="n">
        <v>0.402777777777778</v>
      </c>
      <c r="F4" s="5"/>
      <c r="G4" s="2" t="s">
        <v>5</v>
      </c>
    </row>
    <row r="5" customFormat="false" ht="15" hidden="false" customHeight="false" outlineLevel="0" collapsed="false">
      <c r="B5" s="6" t="s">
        <v>6</v>
      </c>
      <c r="C5" s="6"/>
      <c r="D5" s="0"/>
    </row>
    <row r="6" customFormat="false" ht="15" hidden="false" customHeight="false" outlineLevel="0" collapsed="false">
      <c r="B6" s="4" t="n">
        <v>46329</v>
      </c>
      <c r="C6" s="4"/>
      <c r="D6" s="2" t="s">
        <v>7</v>
      </c>
      <c r="E6" s="5" t="n">
        <v>0.420138888888889</v>
      </c>
      <c r="F6" s="5"/>
      <c r="G6" s="2" t="s">
        <v>8</v>
      </c>
    </row>
    <row r="7" customFormat="false" ht="15" hidden="false" customHeight="false" outlineLevel="0" collapsed="false">
      <c r="B7" s="6" t="s">
        <v>9</v>
      </c>
      <c r="C7" s="6"/>
      <c r="D7" s="0"/>
    </row>
    <row r="8" customFormat="false" ht="15" hidden="false" customHeight="false" outlineLevel="0" collapsed="false">
      <c r="B8" s="1" t="n">
        <v>46317</v>
      </c>
      <c r="D8" s="2" t="s">
        <v>10</v>
      </c>
      <c r="E8" s="5" t="n">
        <v>0.397916666666667</v>
      </c>
      <c r="G8" s="2" t="s">
        <v>11</v>
      </c>
    </row>
    <row r="9" customFormat="false" ht="15" hidden="false" customHeight="false" outlineLevel="0" collapsed="false">
      <c r="B9" s="4" t="n">
        <v>46315</v>
      </c>
      <c r="C9" s="4"/>
      <c r="D9" s="2" t="s">
        <v>12</v>
      </c>
      <c r="E9" s="7" t="n">
        <v>0.381944444444444</v>
      </c>
      <c r="F9" s="7"/>
      <c r="G9" s="2" t="s">
        <v>13</v>
      </c>
    </row>
    <row r="10" customFormat="false" ht="15" hidden="false" customHeight="false" outlineLevel="0" collapsed="false">
      <c r="B10" s="4" t="n">
        <v>46302</v>
      </c>
      <c r="C10" s="4"/>
      <c r="D10" s="2" t="s">
        <v>14</v>
      </c>
      <c r="E10" s="5" t="n">
        <v>0.4375</v>
      </c>
      <c r="F10" s="5"/>
      <c r="G10" s="2" t="s">
        <v>15</v>
      </c>
    </row>
    <row r="11" customFormat="false" ht="15" hidden="false" customHeight="false" outlineLevel="0" collapsed="false">
      <c r="B11" s="4" t="n">
        <v>46302</v>
      </c>
      <c r="C11" s="4"/>
      <c r="D11" s="2" t="s">
        <v>16</v>
      </c>
      <c r="E11" s="5" t="n">
        <v>0.440972222222222</v>
      </c>
      <c r="F11" s="5"/>
      <c r="G11" s="2" t="s">
        <v>17</v>
      </c>
    </row>
    <row r="12" customFormat="false" ht="15" hidden="false" customHeight="false" outlineLevel="0" collapsed="false">
      <c r="B12" s="6" t="s">
        <v>18</v>
      </c>
      <c r="C12" s="6"/>
      <c r="D12" s="0"/>
    </row>
    <row r="13" customFormat="false" ht="15" hidden="false" customHeight="false" outlineLevel="0" collapsed="false">
      <c r="B13" s="4" t="n">
        <v>46287</v>
      </c>
      <c r="C13" s="4"/>
      <c r="D13" s="2" t="s">
        <v>4</v>
      </c>
      <c r="E13" s="5" t="n">
        <v>0.40625</v>
      </c>
      <c r="F13" s="5"/>
      <c r="G13" s="2" t="s">
        <v>5</v>
      </c>
    </row>
    <row r="14" customFormat="false" ht="15" hidden="false" customHeight="false" outlineLevel="0" collapsed="false">
      <c r="B14" s="4" t="n">
        <v>46288</v>
      </c>
      <c r="C14" s="4"/>
      <c r="D14" s="2" t="s">
        <v>14</v>
      </c>
      <c r="E14" s="5" t="n">
        <v>0.376388888888889</v>
      </c>
      <c r="F14" s="5"/>
      <c r="G14" s="2" t="s">
        <v>19</v>
      </c>
    </row>
    <row r="15" customFormat="false" ht="15" hidden="false" customHeight="false" outlineLevel="0" collapsed="false">
      <c r="B15" s="4" t="n">
        <v>46288</v>
      </c>
      <c r="C15" s="4"/>
      <c r="D15" s="2" t="s">
        <v>16</v>
      </c>
      <c r="E15" s="5" t="n">
        <v>0.375</v>
      </c>
      <c r="F15" s="5"/>
      <c r="G15" s="2" t="s">
        <v>15</v>
      </c>
    </row>
    <row r="16" customFormat="false" ht="15" hidden="false" customHeight="false" outlineLevel="0" collapsed="false">
      <c r="B16" s="4" t="n">
        <v>46289</v>
      </c>
      <c r="C16" s="4"/>
      <c r="D16" s="2" t="s">
        <v>10</v>
      </c>
      <c r="E16" s="5" t="n">
        <v>0.395833333333333</v>
      </c>
      <c r="F16" s="5"/>
      <c r="G16" s="2" t="s">
        <v>11</v>
      </c>
    </row>
    <row r="17" customFormat="false" ht="15" hidden="false" customHeight="false" outlineLevel="0" collapsed="false">
      <c r="B17" s="4" t="n">
        <v>46289</v>
      </c>
      <c r="C17" s="4"/>
      <c r="D17" s="2" t="s">
        <v>1</v>
      </c>
      <c r="E17" s="5" t="n">
        <v>0.40625</v>
      </c>
      <c r="F17" s="5"/>
      <c r="G17" s="2" t="s">
        <v>2</v>
      </c>
    </row>
    <row r="20" customFormat="false" ht="15" hidden="false" customHeight="false" outlineLevel="0" collapsed="false">
      <c r="B20" s="4"/>
      <c r="C20" s="4"/>
    </row>
    <row r="29" customFormat="false" ht="15" hidden="false" customHeight="false" outlineLevel="0" collapsed="false">
      <c r="B29" s="4"/>
      <c r="C29" s="4"/>
      <c r="D29" s="2" t="s">
        <v>20</v>
      </c>
    </row>
    <row r="30" customFormat="false" ht="15" hidden="false" customHeight="false" outlineLevel="0" collapsed="false">
      <c r="B30" s="4" t="n">
        <v>45725</v>
      </c>
      <c r="C30" s="4"/>
      <c r="D30" s="2" t="s">
        <v>21</v>
      </c>
      <c r="E30" s="2" t="s">
        <v>22</v>
      </c>
      <c r="F3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26"/>
  <sheetViews>
    <sheetView showFormulas="false" showGridLines="true" showRowColHeaders="true" showZeros="true" rightToLeft="false" tabSelected="false" showOutlineSymbols="true" defaultGridColor="true" view="normal" topLeftCell="A12" colorId="64" zoomScale="130" zoomScaleNormal="130" zoomScalePageLayoutView="100" workbookViewId="0">
      <selection pane="topLeft" activeCell="C14" activeCellId="0" sqref="C14"/>
    </sheetView>
  </sheetViews>
  <sheetFormatPr defaultColWidth="10.14453125" defaultRowHeight="15" customHeight="false" zeroHeight="false" outlineLevelRow="0" outlineLevelCol="0"/>
  <cols>
    <col collapsed="false" customWidth="true" hidden="false" outlineLevel="0" max="1" min="1" style="8" width="10.86"/>
    <col collapsed="false" customWidth="true" hidden="false" outlineLevel="0" max="2" min="2" style="2" width="10.86"/>
    <col collapsed="false" customWidth="true" hidden="false" outlineLevel="0" max="3" min="3" style="2" width="23.57"/>
  </cols>
  <sheetData>
    <row r="3" customFormat="false" ht="15" hidden="false" customHeight="false" outlineLevel="0" collapsed="false">
      <c r="A3" s="8" t="s">
        <v>23</v>
      </c>
      <c r="B3" s="9" t="s">
        <v>24</v>
      </c>
      <c r="D3" s="2" t="s">
        <v>25</v>
      </c>
      <c r="E3" s="10" t="s">
        <v>26</v>
      </c>
      <c r="F3" s="11" t="s">
        <v>27</v>
      </c>
    </row>
    <row r="5" customFormat="false" ht="15" hidden="false" customHeight="false" outlineLevel="0" collapsed="false">
      <c r="A5" s="12" t="n">
        <v>45902</v>
      </c>
      <c r="B5" s="13" t="s">
        <v>28</v>
      </c>
      <c r="C5" s="14" t="s">
        <v>29</v>
      </c>
      <c r="D5" s="15"/>
      <c r="E5" s="16" t="n">
        <v>45905</v>
      </c>
      <c r="F5" s="15" t="n">
        <v>455688</v>
      </c>
    </row>
    <row r="6" customFormat="false" ht="15" hidden="false" customHeight="false" outlineLevel="0" collapsed="false">
      <c r="C6" s="2" t="s">
        <v>30</v>
      </c>
      <c r="E6" s="17"/>
    </row>
    <row r="7" customFormat="false" ht="15" hidden="false" customHeight="false" outlineLevel="0" collapsed="false">
      <c r="B7" s="18" t="s">
        <v>2</v>
      </c>
      <c r="C7" s="19" t="s">
        <v>31</v>
      </c>
    </row>
    <row r="8" customFormat="false" ht="15" hidden="false" customHeight="false" outlineLevel="0" collapsed="false">
      <c r="A8" s="20"/>
      <c r="C8" s="20" t="s">
        <v>32</v>
      </c>
      <c r="D8" s="17"/>
    </row>
    <row r="9" customFormat="false" ht="15" hidden="false" customHeight="false" outlineLevel="0" collapsed="false">
      <c r="A9" s="8" t="n">
        <v>46044</v>
      </c>
      <c r="C9" s="9" t="s">
        <v>33</v>
      </c>
      <c r="D9" s="17"/>
      <c r="E9" s="17"/>
    </row>
    <row r="10" customFormat="false" ht="15" hidden="false" customHeight="false" outlineLevel="0" collapsed="false">
      <c r="A10" s="8" t="n">
        <v>46092</v>
      </c>
      <c r="C10" s="9" t="s">
        <v>34</v>
      </c>
      <c r="D10" s="21" t="s">
        <v>35</v>
      </c>
    </row>
    <row r="11" customFormat="false" ht="15" hidden="false" customHeight="false" outlineLevel="0" collapsed="false">
      <c r="D11" s="22" t="s">
        <v>36</v>
      </c>
    </row>
    <row r="12" customFormat="false" ht="15" hidden="false" customHeight="false" outlineLevel="0" collapsed="false">
      <c r="A12" s="23"/>
      <c r="C12" s="22" t="s">
        <v>37</v>
      </c>
      <c r="D12" s="17"/>
    </row>
    <row r="13" customFormat="false" ht="15" hidden="false" customHeight="false" outlineLevel="0" collapsed="false">
      <c r="A13" s="24" t="n">
        <v>46177</v>
      </c>
      <c r="B13" s="25" t="n">
        <v>0.413194444444444</v>
      </c>
      <c r="C13" s="18" t="s">
        <v>38</v>
      </c>
      <c r="D13" s="26" t="s">
        <v>39</v>
      </c>
      <c r="F13" s="17"/>
    </row>
    <row r="14" customFormat="false" ht="15" hidden="false" customHeight="false" outlineLevel="0" collapsed="false">
      <c r="A14" s="24"/>
      <c r="B14" s="25"/>
      <c r="C14" s="18" t="s">
        <v>40</v>
      </c>
      <c r="D14" s="26"/>
      <c r="F14" s="17"/>
    </row>
    <row r="15" customFormat="false" ht="15" hidden="false" customHeight="false" outlineLevel="0" collapsed="false">
      <c r="A15" s="27" t="n">
        <v>46289</v>
      </c>
      <c r="B15" s="28"/>
      <c r="C15" s="28" t="s">
        <v>41</v>
      </c>
      <c r="D15" s="29"/>
      <c r="E15" s="30"/>
      <c r="F15" s="29"/>
    </row>
    <row r="16" customFormat="false" ht="15" hidden="false" customHeight="false" outlineLevel="0" collapsed="false">
      <c r="D16" s="17"/>
      <c r="F16" s="17"/>
    </row>
    <row r="17" customFormat="false" ht="15" hidden="false" customHeight="false" outlineLevel="0" collapsed="false">
      <c r="D17" s="17"/>
      <c r="E17" s="17"/>
    </row>
    <row r="18" customFormat="false" ht="15" hidden="false" customHeight="false" outlineLevel="0" collapsed="false">
      <c r="A18" s="12" t="n">
        <v>45973</v>
      </c>
      <c r="B18" s="31" t="s">
        <v>42</v>
      </c>
      <c r="C18" s="31" t="s">
        <v>43</v>
      </c>
      <c r="D18" s="16"/>
      <c r="E18" s="15"/>
      <c r="F18" s="16"/>
    </row>
    <row r="19" customFormat="false" ht="15" hidden="false" customHeight="false" outlineLevel="0" collapsed="false">
      <c r="B19" s="9"/>
      <c r="C19" s="9" t="s">
        <v>44</v>
      </c>
      <c r="D19" s="21" t="s">
        <v>45</v>
      </c>
      <c r="F19" s="17"/>
    </row>
    <row r="20" customFormat="false" ht="15" hidden="false" customHeight="false" outlineLevel="0" collapsed="false">
      <c r="B20" s="32"/>
      <c r="D20" s="21" t="s">
        <v>46</v>
      </c>
      <c r="F20" s="17"/>
    </row>
    <row r="21" customFormat="false" ht="15" hidden="false" customHeight="false" outlineLevel="0" collapsed="false">
      <c r="A21" s="33" t="n">
        <v>46132</v>
      </c>
      <c r="B21" s="34" t="n">
        <v>0.423611111111111</v>
      </c>
      <c r="C21" s="35" t="s">
        <v>38</v>
      </c>
      <c r="D21" s="36" t="s">
        <v>47</v>
      </c>
      <c r="F21" s="17"/>
    </row>
    <row r="24" customFormat="false" ht="15" hidden="false" customHeight="false" outlineLevel="0" collapsed="false">
      <c r="A24" s="8" t="n">
        <v>46127</v>
      </c>
      <c r="B24" s="2" t="s">
        <v>5</v>
      </c>
      <c r="C24" s="2" t="s">
        <v>48</v>
      </c>
    </row>
    <row r="26" customFormat="false" ht="15" hidden="false" customHeight="false" outlineLevel="0" collapsed="false">
      <c r="A26" s="33" t="n">
        <v>46287</v>
      </c>
      <c r="B26" s="34" t="n">
        <v>0.40625</v>
      </c>
      <c r="C26" s="35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6"/>
  <sheetViews>
    <sheetView showFormulas="false" showGridLines="true" showRowColHeaders="true" showZeros="true" rightToLeft="false" tabSelected="false" showOutlineSymbols="true" defaultGridColor="true" view="normal" topLeftCell="A112" colorId="64" zoomScale="130" zoomScaleNormal="130" zoomScalePageLayoutView="100" workbookViewId="0">
      <selection pane="topLeft" activeCell="B120" activeCellId="0" sqref="B120"/>
    </sheetView>
  </sheetViews>
  <sheetFormatPr defaultColWidth="10.14453125" defaultRowHeight="15" customHeight="false" zeroHeight="false" outlineLevelRow="0" outlineLevelCol="0"/>
  <cols>
    <col collapsed="false" customWidth="true" hidden="false" outlineLevel="0" max="1" min="1" style="8" width="11.28"/>
    <col collapsed="false" customWidth="true" hidden="false" outlineLevel="0" max="2" min="2" style="19" width="12"/>
    <col collapsed="false" customWidth="true" hidden="false" outlineLevel="0" max="3" min="3" style="2" width="48.86"/>
    <col collapsed="false" customWidth="true" hidden="false" outlineLevel="0" max="4" min="4" style="2" width="11.43"/>
  </cols>
  <sheetData>
    <row r="1" customFormat="false" ht="15" hidden="false" customHeight="false" outlineLevel="0" collapsed="false">
      <c r="C1" s="2" t="s">
        <v>20</v>
      </c>
    </row>
    <row r="2" customFormat="false" ht="15" hidden="false" customHeight="false" outlineLevel="0" collapsed="false">
      <c r="B2" s="26" t="n">
        <v>45725</v>
      </c>
      <c r="C2" s="2" t="s">
        <v>21</v>
      </c>
    </row>
    <row r="3" customFormat="false" ht="15" hidden="false" customHeight="false" outlineLevel="0" collapsed="false">
      <c r="A3" s="8" t="s">
        <v>23</v>
      </c>
      <c r="B3" s="9" t="s">
        <v>24</v>
      </c>
      <c r="D3" s="11" t="s">
        <v>50</v>
      </c>
      <c r="E3" s="11"/>
    </row>
    <row r="4" customFormat="false" ht="15" hidden="false" customHeight="false" outlineLevel="0" collapsed="false">
      <c r="B4" s="9"/>
      <c r="D4" s="11"/>
      <c r="E4" s="11"/>
    </row>
    <row r="5" customFormat="false" ht="15" hidden="false" customHeight="false" outlineLevel="0" collapsed="false">
      <c r="D5" s="11"/>
    </row>
    <row r="6" customFormat="false" ht="15" hidden="false" customHeight="false" outlineLevel="0" collapsed="false">
      <c r="A6" s="12" t="n">
        <v>45959</v>
      </c>
      <c r="B6" s="31" t="s">
        <v>51</v>
      </c>
      <c r="C6" s="14" t="s">
        <v>52</v>
      </c>
      <c r="D6" s="37" t="n">
        <v>196170</v>
      </c>
    </row>
    <row r="7" customFormat="false" ht="15" hidden="false" customHeight="false" outlineLevel="0" collapsed="false">
      <c r="A7" s="12"/>
      <c r="B7" s="31"/>
      <c r="C7" s="14" t="s">
        <v>53</v>
      </c>
      <c r="D7" s="37"/>
    </row>
    <row r="8" customFormat="false" ht="15" hidden="false" customHeight="false" outlineLevel="0" collapsed="false">
      <c r="A8" s="38" t="n">
        <v>46009</v>
      </c>
      <c r="B8" s="9"/>
      <c r="C8" s="39" t="s">
        <v>54</v>
      </c>
      <c r="D8" s="11"/>
    </row>
    <row r="9" customFormat="false" ht="15" hidden="false" customHeight="false" outlineLevel="0" collapsed="false">
      <c r="A9" s="40"/>
      <c r="B9" s="41"/>
      <c r="C9" s="42" t="s">
        <v>55</v>
      </c>
      <c r="D9" s="11"/>
    </row>
    <row r="10" customFormat="false" ht="15" hidden="false" customHeight="false" outlineLevel="0" collapsed="false">
      <c r="B10" s="9"/>
      <c r="D10" s="11"/>
    </row>
    <row r="12" customFormat="false" ht="15" hidden="false" customHeight="false" outlineLevel="0" collapsed="false">
      <c r="B12" s="9"/>
      <c r="D12" s="11"/>
    </row>
    <row r="13" customFormat="false" ht="15" hidden="false" customHeight="false" outlineLevel="0" collapsed="false">
      <c r="A13" s="12" t="n">
        <v>45475</v>
      </c>
      <c r="B13" s="43" t="s">
        <v>56</v>
      </c>
      <c r="C13" s="14" t="s">
        <v>57</v>
      </c>
      <c r="D13" s="37" t="n">
        <v>74000</v>
      </c>
    </row>
    <row r="14" customFormat="false" ht="15" hidden="false" customHeight="false" outlineLevel="0" collapsed="false">
      <c r="A14" s="12"/>
      <c r="B14" s="43"/>
      <c r="C14" s="44" t="s">
        <v>58</v>
      </c>
      <c r="D14" s="37"/>
    </row>
    <row r="15" customFormat="false" ht="15" hidden="false" customHeight="false" outlineLevel="0" collapsed="false">
      <c r="A15" s="38" t="n">
        <v>45482</v>
      </c>
      <c r="B15" s="43"/>
      <c r="C15" s="39" t="s">
        <v>59</v>
      </c>
      <c r="D15" s="11"/>
    </row>
    <row r="16" customFormat="false" ht="15" hidden="false" customHeight="false" outlineLevel="0" collapsed="false">
      <c r="A16" s="12" t="n">
        <v>45604</v>
      </c>
      <c r="B16" s="43" t="s">
        <v>60</v>
      </c>
      <c r="C16" s="14" t="s">
        <v>61</v>
      </c>
      <c r="D16" s="37" t="n">
        <v>140835</v>
      </c>
    </row>
    <row r="17" customFormat="false" ht="15" hidden="false" customHeight="false" outlineLevel="0" collapsed="false">
      <c r="A17" s="12"/>
      <c r="B17" s="43"/>
      <c r="C17" s="14" t="s">
        <v>62</v>
      </c>
      <c r="D17" s="37"/>
    </row>
    <row r="18" customFormat="false" ht="15" hidden="false" customHeight="false" outlineLevel="0" collapsed="false">
      <c r="A18" s="38" t="n">
        <v>45615</v>
      </c>
      <c r="B18" s="43"/>
      <c r="C18" s="39" t="s">
        <v>59</v>
      </c>
      <c r="D18" s="11"/>
    </row>
    <row r="19" customFormat="false" ht="15" hidden="false" customHeight="false" outlineLevel="0" collapsed="false">
      <c r="A19" s="8" t="n">
        <v>45704</v>
      </c>
      <c r="B19" s="45" t="s">
        <v>17</v>
      </c>
      <c r="C19" s="19" t="s">
        <v>63</v>
      </c>
      <c r="D19" s="11"/>
    </row>
    <row r="20" customFormat="false" ht="15" hidden="false" customHeight="false" outlineLevel="0" collapsed="false">
      <c r="B20" s="9"/>
      <c r="C20" s="2" t="s">
        <v>64</v>
      </c>
      <c r="D20" s="11"/>
    </row>
    <row r="21" customFormat="false" ht="15" hidden="false" customHeight="false" outlineLevel="0" collapsed="false">
      <c r="A21" s="8" t="n">
        <v>45989</v>
      </c>
      <c r="B21" s="9"/>
      <c r="C21" s="2" t="s">
        <v>65</v>
      </c>
      <c r="D21" s="11"/>
    </row>
    <row r="22" customFormat="false" ht="15" hidden="false" customHeight="false" outlineLevel="0" collapsed="false">
      <c r="A22" s="8" t="n">
        <v>46042</v>
      </c>
      <c r="B22" s="9"/>
      <c r="C22" s="19" t="s">
        <v>66</v>
      </c>
      <c r="D22" s="11"/>
    </row>
    <row r="23" customFormat="false" ht="15" hidden="false" customHeight="false" outlineLevel="0" collapsed="false">
      <c r="A23" s="8" t="n">
        <v>46155</v>
      </c>
      <c r="B23" s="9"/>
      <c r="C23" s="19" t="s">
        <v>67</v>
      </c>
      <c r="D23" s="11"/>
    </row>
    <row r="24" customFormat="false" ht="15" hidden="false" customHeight="false" outlineLevel="0" collapsed="false">
      <c r="A24" s="8" t="n">
        <v>46204</v>
      </c>
      <c r="B24" s="9"/>
      <c r="C24" s="42" t="s">
        <v>68</v>
      </c>
      <c r="D24" s="11"/>
    </row>
    <row r="25" customFormat="false" ht="15" hidden="false" customHeight="false" outlineLevel="0" collapsed="false">
      <c r="A25" s="33" t="n">
        <v>46288</v>
      </c>
      <c r="B25" s="34" t="n">
        <v>0.376388888888889</v>
      </c>
      <c r="C25" s="35" t="s">
        <v>69</v>
      </c>
      <c r="D25" s="11"/>
      <c r="F25" s="11"/>
    </row>
    <row r="26" customFormat="false" ht="15" hidden="false" customHeight="false" outlineLevel="0" collapsed="false">
      <c r="B26" s="9"/>
      <c r="D26" s="11"/>
      <c r="F26" s="11"/>
    </row>
    <row r="27" customFormat="false" ht="15" hidden="false" customHeight="false" outlineLevel="0" collapsed="false">
      <c r="A27" s="12" t="n">
        <v>45603</v>
      </c>
      <c r="B27" s="45" t="s">
        <v>70</v>
      </c>
      <c r="C27" s="14" t="s">
        <v>71</v>
      </c>
      <c r="D27" s="37"/>
    </row>
    <row r="28" customFormat="false" ht="15" hidden="false" customHeight="false" outlineLevel="0" collapsed="false">
      <c r="A28" s="12"/>
      <c r="B28" s="43"/>
      <c r="C28" s="46" t="s">
        <v>72</v>
      </c>
      <c r="D28" s="37"/>
    </row>
    <row r="29" customFormat="false" ht="15" hidden="false" customHeight="false" outlineLevel="0" collapsed="false">
      <c r="A29" s="38" t="n">
        <v>45615</v>
      </c>
      <c r="B29" s="43"/>
      <c r="C29" s="39" t="s">
        <v>59</v>
      </c>
      <c r="D29" s="11" t="n">
        <v>156000</v>
      </c>
    </row>
    <row r="30" customFormat="false" ht="15" hidden="false" customHeight="false" outlineLevel="0" collapsed="false">
      <c r="A30" s="8" t="n">
        <v>45704</v>
      </c>
      <c r="B30" s="45" t="s">
        <v>13</v>
      </c>
      <c r="C30" s="2" t="s">
        <v>73</v>
      </c>
      <c r="D30" s="10" t="n">
        <v>86000</v>
      </c>
    </row>
    <row r="31" customFormat="false" ht="15" hidden="false" customHeight="false" outlineLevel="0" collapsed="false">
      <c r="B31" s="9"/>
      <c r="C31" s="2" t="s">
        <v>74</v>
      </c>
      <c r="D31" s="47" t="s">
        <v>75</v>
      </c>
    </row>
    <row r="32" customFormat="false" ht="15" hidden="false" customHeight="false" outlineLevel="0" collapsed="false">
      <c r="A32" s="8" t="n">
        <v>46086</v>
      </c>
      <c r="B32" s="9" t="s">
        <v>69</v>
      </c>
      <c r="C32" s="2" t="s">
        <v>76</v>
      </c>
      <c r="D32" s="11"/>
    </row>
    <row r="33" customFormat="false" ht="15" hidden="false" customHeight="false" outlineLevel="0" collapsed="false">
      <c r="B33" s="9"/>
      <c r="C33" s="2" t="s">
        <v>77</v>
      </c>
      <c r="D33" s="11"/>
    </row>
    <row r="34" customFormat="false" ht="15" hidden="false" customHeight="false" outlineLevel="0" collapsed="false">
      <c r="B34" s="9"/>
      <c r="C34" s="2" t="s">
        <v>78</v>
      </c>
      <c r="D34" s="11"/>
    </row>
    <row r="35" customFormat="false" ht="76.1" hidden="false" customHeight="false" outlineLevel="0" collapsed="false">
      <c r="A35" s="24" t="n">
        <v>46196</v>
      </c>
      <c r="B35" s="48" t="n">
        <v>0.413194444444444</v>
      </c>
      <c r="C35" s="49" t="s">
        <v>79</v>
      </c>
      <c r="D35" s="11"/>
      <c r="F35" s="11"/>
    </row>
    <row r="36" customFormat="false" ht="16.4" hidden="false" customHeight="false" outlineLevel="0" collapsed="false">
      <c r="A36" s="50" t="n">
        <v>46318</v>
      </c>
      <c r="B36" s="51"/>
      <c r="C36" s="52" t="s">
        <v>80</v>
      </c>
      <c r="D36" s="11"/>
      <c r="F36" s="11"/>
    </row>
    <row r="37" customFormat="false" ht="15" hidden="false" customHeight="false" outlineLevel="0" collapsed="false">
      <c r="A37" s="24"/>
      <c r="B37" s="48"/>
      <c r="C37" s="53"/>
      <c r="D37" s="11"/>
      <c r="F37" s="11"/>
    </row>
    <row r="38" customFormat="false" ht="15" hidden="false" customHeight="false" outlineLevel="0" collapsed="false">
      <c r="B38" s="9"/>
      <c r="D38" s="11"/>
    </row>
    <row r="39" customFormat="false" ht="15" hidden="false" customHeight="false" outlineLevel="0" collapsed="false">
      <c r="A39" s="12" t="n">
        <v>45588</v>
      </c>
      <c r="B39" s="43" t="s">
        <v>81</v>
      </c>
      <c r="C39" s="14" t="s">
        <v>82</v>
      </c>
      <c r="D39" s="37"/>
    </row>
    <row r="40" customFormat="false" ht="15" hidden="false" customHeight="false" outlineLevel="0" collapsed="false">
      <c r="A40" s="38" t="n">
        <v>45596</v>
      </c>
      <c r="B40" s="43"/>
      <c r="C40" s="54" t="s">
        <v>83</v>
      </c>
      <c r="D40" s="11"/>
    </row>
    <row r="41" customFormat="false" ht="15" hidden="false" customHeight="false" outlineLevel="0" collapsed="false">
      <c r="A41" s="8" t="n">
        <v>45704</v>
      </c>
      <c r="B41" s="45" t="s">
        <v>15</v>
      </c>
      <c r="C41" s="2" t="s">
        <v>84</v>
      </c>
      <c r="D41" s="11"/>
    </row>
    <row r="42" customFormat="false" ht="15" hidden="false" customHeight="false" outlineLevel="0" collapsed="false">
      <c r="A42" s="8" t="n">
        <v>46021</v>
      </c>
      <c r="B42" s="9" t="s">
        <v>85</v>
      </c>
      <c r="C42" s="42"/>
      <c r="D42" s="11"/>
    </row>
    <row r="43" customFormat="false" ht="15" hidden="false" customHeight="false" outlineLevel="0" collapsed="false">
      <c r="A43" s="8" t="n">
        <v>46036</v>
      </c>
      <c r="B43" s="9" t="s">
        <v>69</v>
      </c>
      <c r="C43" s="2" t="s">
        <v>66</v>
      </c>
      <c r="D43" s="11"/>
    </row>
    <row r="44" customFormat="false" ht="15" hidden="false" customHeight="false" outlineLevel="0" collapsed="false">
      <c r="A44" s="8" t="n">
        <v>46155</v>
      </c>
      <c r="B44" s="9"/>
      <c r="C44" s="19" t="s">
        <v>86</v>
      </c>
      <c r="D44" s="11"/>
    </row>
    <row r="45" customFormat="false" ht="15" hidden="false" customHeight="false" outlineLevel="0" collapsed="false">
      <c r="A45" s="8" t="n">
        <v>46155</v>
      </c>
      <c r="B45" s="9"/>
      <c r="C45" s="19" t="s">
        <v>67</v>
      </c>
      <c r="D45" s="11"/>
    </row>
    <row r="46" customFormat="false" ht="15" hidden="false" customHeight="false" outlineLevel="0" collapsed="false">
      <c r="A46" s="8" t="n">
        <v>46204</v>
      </c>
      <c r="B46" s="9"/>
      <c r="C46" s="9" t="s">
        <v>87</v>
      </c>
      <c r="D46" s="11"/>
    </row>
    <row r="47" customFormat="false" ht="15" hidden="false" customHeight="false" outlineLevel="0" collapsed="false">
      <c r="A47" s="33" t="n">
        <v>46288</v>
      </c>
      <c r="B47" s="34" t="n">
        <v>0.375</v>
      </c>
      <c r="C47" s="35" t="s">
        <v>69</v>
      </c>
      <c r="D47" s="11"/>
      <c r="F47" s="11"/>
    </row>
    <row r="48" customFormat="false" ht="15" hidden="false" customHeight="false" outlineLevel="0" collapsed="false">
      <c r="A48" s="55"/>
      <c r="B48" s="56"/>
      <c r="C48" s="57" t="s">
        <v>88</v>
      </c>
      <c r="D48" s="11"/>
      <c r="F48" s="11"/>
    </row>
    <row r="49" customFormat="false" ht="15" hidden="false" customHeight="false" outlineLevel="0" collapsed="false">
      <c r="A49" s="55"/>
      <c r="B49" s="56"/>
      <c r="C49" s="58"/>
      <c r="D49" s="11"/>
      <c r="F49" s="11"/>
    </row>
    <row r="50" customFormat="false" ht="15" hidden="false" customHeight="false" outlineLevel="0" collapsed="false">
      <c r="A50" s="55"/>
      <c r="B50" s="56"/>
      <c r="C50" s="58"/>
      <c r="D50" s="11"/>
      <c r="F50" s="11"/>
    </row>
    <row r="51" customFormat="false" ht="15" hidden="false" customHeight="false" outlineLevel="0" collapsed="false">
      <c r="B51" s="9"/>
      <c r="D51" s="11"/>
      <c r="E51" s="9"/>
    </row>
    <row r="52" customFormat="false" ht="15" hidden="false" customHeight="false" outlineLevel="0" collapsed="false">
      <c r="A52" s="12" t="n">
        <v>45475</v>
      </c>
      <c r="B52" s="43" t="s">
        <v>89</v>
      </c>
      <c r="C52" s="14" t="s">
        <v>90</v>
      </c>
      <c r="D52" s="37" t="n">
        <v>158437</v>
      </c>
      <c r="E52" s="9"/>
    </row>
    <row r="53" customFormat="false" ht="15" hidden="false" customHeight="false" outlineLevel="0" collapsed="false">
      <c r="A53" s="38" t="n">
        <v>45482</v>
      </c>
      <c r="B53" s="43"/>
      <c r="C53" s="44" t="s">
        <v>91</v>
      </c>
      <c r="D53" s="37"/>
    </row>
    <row r="54" customFormat="false" ht="15" hidden="false" customHeight="false" outlineLevel="0" collapsed="false">
      <c r="B54" s="43"/>
      <c r="C54" s="54" t="s">
        <v>92</v>
      </c>
      <c r="D54" s="11"/>
    </row>
    <row r="55" customFormat="false" ht="15" hidden="false" customHeight="false" outlineLevel="0" collapsed="false">
      <c r="A55" s="8" t="n">
        <v>46069</v>
      </c>
      <c r="B55" s="45" t="s">
        <v>93</v>
      </c>
      <c r="C55" s="2" t="s">
        <v>94</v>
      </c>
      <c r="D55" s="11"/>
    </row>
    <row r="56" customFormat="false" ht="15" hidden="false" customHeight="false" outlineLevel="0" collapsed="false">
      <c r="B56" s="9"/>
      <c r="C56" s="19" t="s">
        <v>74</v>
      </c>
      <c r="D56" s="11"/>
    </row>
    <row r="57" customFormat="false" ht="15" hidden="false" customHeight="false" outlineLevel="0" collapsed="false">
      <c r="A57" s="8" t="n">
        <v>46077</v>
      </c>
      <c r="B57" s="9"/>
      <c r="C57" s="2" t="s">
        <v>95</v>
      </c>
      <c r="D57" s="11"/>
    </row>
    <row r="58" customFormat="false" ht="15" hidden="false" customHeight="false" outlineLevel="0" collapsed="false">
      <c r="B58" s="9"/>
      <c r="D58" s="11"/>
    </row>
    <row r="59" customFormat="false" ht="15" hidden="false" customHeight="false" outlineLevel="0" collapsed="false">
      <c r="A59" s="59" t="n">
        <v>46175</v>
      </c>
      <c r="B59" s="48" t="n">
        <v>0.413194444444444</v>
      </c>
      <c r="C59" s="32" t="s">
        <v>96</v>
      </c>
      <c r="D59" s="10"/>
      <c r="F59" s="10"/>
    </row>
    <row r="60" customFormat="false" ht="15" hidden="false" customHeight="false" outlineLevel="0" collapsed="false">
      <c r="B60" s="9"/>
      <c r="C60" s="9" t="s">
        <v>97</v>
      </c>
      <c r="D60" s="11"/>
    </row>
    <row r="61" customFormat="false" ht="15" hidden="false" customHeight="false" outlineLevel="0" collapsed="false">
      <c r="A61" s="60"/>
      <c r="B61" s="61"/>
      <c r="C61" s="62" t="s">
        <v>98</v>
      </c>
      <c r="D61" s="11"/>
    </row>
    <row r="62" customFormat="false" ht="15" hidden="false" customHeight="false" outlineLevel="0" collapsed="false">
      <c r="A62" s="60"/>
      <c r="B62" s="61"/>
      <c r="C62" s="62" t="s">
        <v>99</v>
      </c>
      <c r="D62" s="11"/>
    </row>
    <row r="63" customFormat="false" ht="15" hidden="false" customHeight="false" outlineLevel="0" collapsed="false">
      <c r="A63" s="60" t="n">
        <v>46252</v>
      </c>
      <c r="B63" s="61"/>
      <c r="C63" s="62" t="s">
        <v>100</v>
      </c>
      <c r="D63" s="11"/>
    </row>
    <row r="64" customFormat="false" ht="15" hidden="false" customHeight="false" outlineLevel="0" collapsed="false">
      <c r="A64" s="60"/>
      <c r="B64" s="61"/>
      <c r="C64" s="62" t="s">
        <v>101</v>
      </c>
      <c r="D64" s="11"/>
    </row>
    <row r="65" customFormat="false" ht="15" hidden="false" customHeight="false" outlineLevel="0" collapsed="false">
      <c r="A65" s="63" t="n">
        <v>46269</v>
      </c>
      <c r="B65" s="64"/>
      <c r="C65" s="65" t="s">
        <v>102</v>
      </c>
      <c r="D65" s="11"/>
    </row>
    <row r="66" customFormat="false" ht="15" hidden="false" customHeight="false" outlineLevel="0" collapsed="false">
      <c r="A66" s="66"/>
      <c r="B66" s="64"/>
      <c r="C66" s="65" t="s">
        <v>103</v>
      </c>
      <c r="D66" s="11"/>
    </row>
    <row r="67" customFormat="false" ht="15" hidden="false" customHeight="false" outlineLevel="0" collapsed="false">
      <c r="A67" s="60"/>
      <c r="B67" s="61"/>
      <c r="C67" s="62"/>
      <c r="D67" s="11"/>
    </row>
    <row r="68" customFormat="false" ht="15" hidden="false" customHeight="false" outlineLevel="0" collapsed="false">
      <c r="A68" s="67" t="n">
        <v>46259</v>
      </c>
      <c r="B68" s="68" t="s">
        <v>89</v>
      </c>
      <c r="C68" s="69" t="s">
        <v>104</v>
      </c>
      <c r="D68" s="11"/>
    </row>
    <row r="69" customFormat="false" ht="15" hidden="false" customHeight="false" outlineLevel="0" collapsed="false">
      <c r="A69" s="67" t="n">
        <v>46259</v>
      </c>
      <c r="B69" s="70"/>
      <c r="C69" s="69" t="s">
        <v>105</v>
      </c>
      <c r="D69" s="11"/>
    </row>
    <row r="70" customFormat="false" ht="15" hidden="false" customHeight="false" outlineLevel="0" collapsed="false">
      <c r="A70" s="60"/>
      <c r="B70" s="61"/>
      <c r="C70" s="62"/>
      <c r="D70" s="11"/>
    </row>
    <row r="71" customFormat="false" ht="15" hidden="false" customHeight="false" outlineLevel="0" collapsed="false">
      <c r="B71" s="9"/>
      <c r="C71" s="19"/>
      <c r="D71" s="11"/>
    </row>
    <row r="72" customFormat="false" ht="17.9" hidden="false" customHeight="false" outlineLevel="0" collapsed="false">
      <c r="A72" s="12" t="n">
        <v>45342</v>
      </c>
      <c r="B72" s="45" t="s">
        <v>106</v>
      </c>
      <c r="C72" s="31" t="s">
        <v>107</v>
      </c>
      <c r="D72" s="15" t="s">
        <v>108</v>
      </c>
    </row>
    <row r="73" customFormat="false" ht="15" hidden="false" customHeight="false" outlineLevel="0" collapsed="false">
      <c r="B73" s="43"/>
      <c r="C73" s="19" t="s">
        <v>109</v>
      </c>
      <c r="D73" s="11"/>
    </row>
    <row r="74" customFormat="false" ht="17.9" hidden="false" customHeight="false" outlineLevel="0" collapsed="false">
      <c r="A74" s="71" t="n">
        <v>45450</v>
      </c>
      <c r="B74" s="45" t="s">
        <v>110</v>
      </c>
      <c r="C74" s="9" t="s">
        <v>111</v>
      </c>
    </row>
    <row r="75" customFormat="false" ht="15" hidden="false" customHeight="false" outlineLevel="0" collapsed="false">
      <c r="A75" s="8" t="n">
        <v>45680</v>
      </c>
      <c r="B75" s="45"/>
      <c r="C75" s="72" t="s">
        <v>112</v>
      </c>
      <c r="D75" s="2" t="s">
        <v>113</v>
      </c>
    </row>
    <row r="76" customFormat="false" ht="15" hidden="false" customHeight="false" outlineLevel="0" collapsed="false">
      <c r="B76" s="43"/>
      <c r="C76" s="9" t="s">
        <v>114</v>
      </c>
    </row>
    <row r="77" customFormat="false" ht="15" hidden="false" customHeight="false" outlineLevel="0" collapsed="false">
      <c r="A77" s="8" t="n">
        <v>45726</v>
      </c>
      <c r="B77" s="73"/>
      <c r="C77" s="2" t="s">
        <v>115</v>
      </c>
    </row>
    <row r="78" customFormat="false" ht="15" hidden="false" customHeight="false" outlineLevel="0" collapsed="false">
      <c r="A78" s="74" t="n">
        <v>45765</v>
      </c>
      <c r="B78" s="75" t="s">
        <v>116</v>
      </c>
      <c r="C78" s="41" t="s">
        <v>117</v>
      </c>
      <c r="D78" s="11"/>
      <c r="F78" s="11"/>
    </row>
    <row r="79" customFormat="false" ht="15" hidden="false" customHeight="false" outlineLevel="0" collapsed="false">
      <c r="A79" s="76" t="n">
        <v>46195</v>
      </c>
      <c r="B79" s="77" t="s">
        <v>118</v>
      </c>
      <c r="C79" s="78" t="s">
        <v>119</v>
      </c>
      <c r="D79" s="11"/>
      <c r="F79" s="11"/>
    </row>
    <row r="80" customFormat="false" ht="15" hidden="false" customHeight="false" outlineLevel="0" collapsed="false">
      <c r="A80" s="76"/>
      <c r="B80" s="77"/>
      <c r="C80" s="77" t="s">
        <v>120</v>
      </c>
      <c r="D80" s="11"/>
    </row>
    <row r="81" customFormat="false" ht="15" hidden="false" customHeight="false" outlineLevel="0" collapsed="false">
      <c r="A81" s="8" t="n">
        <v>46204</v>
      </c>
      <c r="B81" s="9" t="s">
        <v>8</v>
      </c>
      <c r="C81" s="9" t="s">
        <v>121</v>
      </c>
      <c r="D81" s="11"/>
    </row>
    <row r="82" customFormat="false" ht="15" hidden="false" customHeight="false" outlineLevel="0" collapsed="false">
      <c r="A82" s="8" t="n">
        <v>46220</v>
      </c>
      <c r="B82" s="2"/>
      <c r="D82" s="11"/>
    </row>
    <row r="83" customFormat="false" ht="15" hidden="false" customHeight="false" outlineLevel="0" collapsed="false">
      <c r="A83" s="8" t="n">
        <v>46329</v>
      </c>
      <c r="B83" s="34" t="n">
        <v>0.420138888888889</v>
      </c>
      <c r="C83" s="35" t="s">
        <v>69</v>
      </c>
      <c r="D83" s="11"/>
    </row>
    <row r="84" customFormat="false" ht="15" hidden="false" customHeight="false" outlineLevel="0" collapsed="false">
      <c r="A84" s="2"/>
      <c r="B84" s="9"/>
      <c r="C84" s="79" t="s">
        <v>122</v>
      </c>
      <c r="D84" s="11"/>
    </row>
    <row r="85" customFormat="false" ht="15" hidden="false" customHeight="false" outlineLevel="0" collapsed="false">
      <c r="B85" s="9"/>
      <c r="C85" s="79" t="s">
        <v>123</v>
      </c>
      <c r="D85" s="11"/>
    </row>
    <row r="86" customFormat="false" ht="15" hidden="false" customHeight="false" outlineLevel="0" collapsed="false">
      <c r="B86" s="9"/>
      <c r="C86" s="32" t="s">
        <v>124</v>
      </c>
      <c r="D86" s="11"/>
    </row>
    <row r="87" customFormat="false" ht="15" hidden="false" customHeight="false" outlineLevel="0" collapsed="false">
      <c r="B87" s="9"/>
      <c r="C87" s="80" t="s">
        <v>125</v>
      </c>
      <c r="D87" s="11"/>
    </row>
    <row r="88" customFormat="false" ht="15" hidden="false" customHeight="false" outlineLevel="0" collapsed="false">
      <c r="B88" s="9"/>
      <c r="C88" s="81" t="s">
        <v>126</v>
      </c>
      <c r="D88" s="11"/>
    </row>
    <row r="89" customFormat="false" ht="15" hidden="false" customHeight="false" outlineLevel="0" collapsed="false">
      <c r="B89" s="9"/>
      <c r="C89" s="79"/>
      <c r="D89" s="11"/>
    </row>
    <row r="90" s="19" customFormat="true" ht="15" hidden="false" customHeight="false" outlineLevel="0" collapsed="false">
      <c r="A90" s="8"/>
      <c r="B90" s="9"/>
      <c r="C90" s="79"/>
      <c r="D90" s="11"/>
      <c r="E90" s="0"/>
      <c r="F90" s="0"/>
    </row>
    <row r="91" s="19" customFormat="true" ht="15" hidden="false" customHeight="false" outlineLevel="0" collapsed="false">
      <c r="A91" s="8"/>
      <c r="B91" s="9"/>
      <c r="C91" s="79"/>
      <c r="D91" s="11"/>
      <c r="E91" s="0"/>
      <c r="F91" s="0"/>
    </row>
    <row r="92" s="19" customFormat="true" ht="15" hidden="false" customHeight="false" outlineLevel="0" collapsed="false">
      <c r="A92" s="8"/>
      <c r="B92" s="9"/>
      <c r="D92" s="11"/>
      <c r="E92" s="0"/>
      <c r="F92" s="0"/>
    </row>
    <row r="93" s="19" customFormat="true" ht="15" hidden="false" customHeight="false" outlineLevel="0" collapsed="false">
      <c r="A93" s="82" t="n">
        <v>46076</v>
      </c>
      <c r="B93" s="83" t="s">
        <v>127</v>
      </c>
      <c r="C93" s="83" t="s">
        <v>90</v>
      </c>
      <c r="D93" s="35" t="n">
        <v>515608</v>
      </c>
      <c r="E93" s="0"/>
      <c r="F93" s="0"/>
    </row>
    <row r="94" s="19" customFormat="true" ht="15" hidden="false" customHeight="false" outlineLevel="0" collapsed="false">
      <c r="A94" s="84"/>
      <c r="B94" s="85"/>
      <c r="C94" s="18" t="s">
        <v>128</v>
      </c>
      <c r="D94" s="29" t="n">
        <v>46088</v>
      </c>
      <c r="E94" s="0"/>
      <c r="F94" s="0"/>
    </row>
    <row r="95" s="19" customFormat="true" ht="15" hidden="false" customHeight="false" outlineLevel="0" collapsed="false">
      <c r="A95" s="86" t="n">
        <v>46120</v>
      </c>
      <c r="B95" s="87" t="s">
        <v>129</v>
      </c>
      <c r="C95" s="88" t="s">
        <v>130</v>
      </c>
      <c r="D95" s="28"/>
      <c r="E95" s="0"/>
      <c r="F95" s="0"/>
    </row>
    <row r="96" s="19" customFormat="true" ht="15" hidden="false" customHeight="false" outlineLevel="0" collapsed="false">
      <c r="A96" s="86" t="n">
        <v>46121</v>
      </c>
      <c r="B96" s="87" t="s">
        <v>131</v>
      </c>
      <c r="C96" s="88" t="s">
        <v>132</v>
      </c>
      <c r="D96" s="28"/>
      <c r="E96" s="0"/>
      <c r="F96" s="0"/>
    </row>
    <row r="97" customFormat="false" ht="15" hidden="false" customHeight="false" outlineLevel="0" collapsed="false">
      <c r="A97" s="86" t="n">
        <v>46120</v>
      </c>
      <c r="B97" s="87" t="s">
        <v>129</v>
      </c>
      <c r="C97" s="88" t="s">
        <v>133</v>
      </c>
      <c r="D97" s="28"/>
    </row>
    <row r="98" customFormat="false" ht="15" hidden="false" customHeight="false" outlineLevel="0" collapsed="false">
      <c r="A98" s="86" t="n">
        <v>46121</v>
      </c>
      <c r="B98" s="87" t="s">
        <v>131</v>
      </c>
      <c r="C98" s="88" t="s">
        <v>132</v>
      </c>
      <c r="D98" s="28"/>
    </row>
    <row r="99" customFormat="false" ht="15" hidden="false" customHeight="false" outlineLevel="0" collapsed="false">
      <c r="A99" s="86" t="n">
        <v>46121</v>
      </c>
      <c r="B99" s="87"/>
      <c r="C99" s="88" t="s">
        <v>134</v>
      </c>
      <c r="D99" s="28"/>
    </row>
    <row r="100" customFormat="false" ht="15" hidden="false" customHeight="false" outlineLevel="0" collapsed="false">
      <c r="A100" s="86" t="n">
        <v>46122</v>
      </c>
      <c r="B100" s="87"/>
      <c r="C100" s="88" t="s">
        <v>135</v>
      </c>
      <c r="D100" s="28"/>
    </row>
    <row r="101" customFormat="false" ht="15" hidden="false" customHeight="false" outlineLevel="0" collapsed="false">
      <c r="A101" s="86"/>
      <c r="B101" s="87"/>
      <c r="C101" s="88" t="s">
        <v>136</v>
      </c>
      <c r="D101" s="28"/>
    </row>
    <row r="102" customFormat="false" ht="15" hidden="false" customHeight="false" outlineLevel="0" collapsed="false">
      <c r="A102" s="86"/>
      <c r="B102" s="87"/>
      <c r="C102" s="88" t="s">
        <v>137</v>
      </c>
      <c r="D102" s="28"/>
    </row>
    <row r="103" customFormat="false" ht="15" hidden="false" customHeight="false" outlineLevel="0" collapsed="false">
      <c r="A103" s="86"/>
      <c r="B103" s="87"/>
      <c r="C103" s="88" t="s">
        <v>138</v>
      </c>
      <c r="D103" s="28"/>
    </row>
    <row r="104" customFormat="false" ht="15" hidden="false" customHeight="false" outlineLevel="0" collapsed="false">
      <c r="A104" s="86"/>
      <c r="B104" s="89"/>
      <c r="C104" s="90" t="s">
        <v>139</v>
      </c>
      <c r="D104" s="28"/>
    </row>
    <row r="105" customFormat="false" ht="15" hidden="false" customHeight="false" outlineLevel="0" collapsed="false">
      <c r="A105" s="86" t="n">
        <v>46122</v>
      </c>
      <c r="B105" s="87" t="s">
        <v>113</v>
      </c>
      <c r="C105" s="88" t="s">
        <v>140</v>
      </c>
      <c r="D105" s="10" t="s">
        <v>141</v>
      </c>
    </row>
    <row r="106" customFormat="false" ht="15" hidden="false" customHeight="false" outlineLevel="0" collapsed="false">
      <c r="A106" s="86" t="n">
        <v>46122</v>
      </c>
      <c r="B106" s="88" t="s">
        <v>113</v>
      </c>
      <c r="C106" s="88" t="s">
        <v>142</v>
      </c>
      <c r="D106" s="91" t="s">
        <v>143</v>
      </c>
    </row>
    <row r="107" customFormat="false" ht="15" hidden="false" customHeight="false" outlineLevel="0" collapsed="false">
      <c r="A107" s="86" t="n">
        <v>46127</v>
      </c>
      <c r="B107" s="87"/>
      <c r="C107" s="92" t="s">
        <v>144</v>
      </c>
      <c r="D107" s="35" t="n">
        <v>375000</v>
      </c>
    </row>
    <row r="108" customFormat="false" ht="15" hidden="false" customHeight="false" outlineLevel="0" collapsed="false">
      <c r="A108" s="86"/>
      <c r="B108" s="87"/>
      <c r="C108" s="92" t="s">
        <v>145</v>
      </c>
      <c r="D108" s="93"/>
    </row>
    <row r="109" customFormat="false" ht="15" hidden="false" customHeight="false" outlineLevel="0" collapsed="false">
      <c r="A109" s="86"/>
      <c r="B109" s="87"/>
      <c r="C109" s="88" t="s">
        <v>146</v>
      </c>
      <c r="D109" s="93"/>
    </row>
    <row r="110" customFormat="false" ht="15" hidden="false" customHeight="false" outlineLevel="0" collapsed="false">
      <c r="A110" s="93"/>
      <c r="B110" s="94"/>
      <c r="C110" s="94" t="s">
        <v>147</v>
      </c>
      <c r="D110" s="93"/>
    </row>
    <row r="111" customFormat="false" ht="15" hidden="false" customHeight="false" outlineLevel="0" collapsed="false">
      <c r="A111" s="86" t="n">
        <v>46206</v>
      </c>
      <c r="B111" s="94"/>
      <c r="C111" s="95" t="s">
        <v>148</v>
      </c>
      <c r="D111" s="93"/>
    </row>
    <row r="112" customFormat="false" ht="15" hidden="false" customHeight="false" outlineLevel="0" collapsed="false">
      <c r="A112" s="86" t="n">
        <v>46126</v>
      </c>
      <c r="B112" s="94"/>
      <c r="C112" s="95" t="s">
        <v>149</v>
      </c>
      <c r="D112" s="93"/>
    </row>
    <row r="113" customFormat="false" ht="15" hidden="false" customHeight="false" outlineLevel="0" collapsed="false">
      <c r="A113" s="86" t="n">
        <v>46217</v>
      </c>
      <c r="B113" s="94"/>
      <c r="C113" s="95" t="s">
        <v>150</v>
      </c>
      <c r="D113" s="93"/>
    </row>
    <row r="114" customFormat="false" ht="15" hidden="false" customHeight="false" outlineLevel="0" collapsed="false">
      <c r="A114" s="93"/>
      <c r="B114" s="94"/>
      <c r="C114" s="95" t="s">
        <v>151</v>
      </c>
      <c r="D114" s="93"/>
    </row>
    <row r="115" customFormat="false" ht="15" hidden="false" customHeight="false" outlineLevel="0" collapsed="false">
      <c r="A115" s="96"/>
      <c r="B115" s="32" t="s">
        <v>11</v>
      </c>
      <c r="C115" s="32" t="s">
        <v>152</v>
      </c>
      <c r="D115" s="18" t="s">
        <v>153</v>
      </c>
      <c r="E115" s="19"/>
      <c r="F115" s="19"/>
    </row>
    <row r="116" customFormat="false" ht="15" hidden="false" customHeight="false" outlineLevel="0" collapsed="false">
      <c r="A116" s="96"/>
      <c r="C116" s="32" t="s">
        <v>154</v>
      </c>
      <c r="D116" s="19"/>
      <c r="E116" s="19"/>
      <c r="F116" s="19"/>
    </row>
    <row r="117" customFormat="false" ht="15" hidden="false" customHeight="false" outlineLevel="0" collapsed="false">
      <c r="A117" s="96"/>
      <c r="C117" s="9"/>
      <c r="D117" s="19"/>
      <c r="E117" s="19"/>
      <c r="F117" s="19"/>
    </row>
    <row r="118" customFormat="false" ht="15" hidden="false" customHeight="false" outlineLevel="0" collapsed="false">
      <c r="A118" s="97" t="n">
        <v>46289</v>
      </c>
      <c r="B118" s="34" t="n">
        <v>0.395833333333333</v>
      </c>
      <c r="C118" s="9" t="s">
        <v>155</v>
      </c>
      <c r="D118" s="19"/>
      <c r="E118" s="19"/>
      <c r="F118" s="19"/>
    </row>
    <row r="119" customFormat="false" ht="15" hidden="false" customHeight="false" outlineLevel="0" collapsed="false">
      <c r="A119" s="97" t="n">
        <v>46317</v>
      </c>
      <c r="B119" s="34" t="n">
        <v>0.397916666666667</v>
      </c>
      <c r="C119" s="9"/>
      <c r="D119" s="19"/>
      <c r="E119" s="19"/>
      <c r="F119" s="19"/>
    </row>
    <row r="120" customFormat="false" ht="15" hidden="false" customHeight="false" outlineLevel="0" collapsed="false">
      <c r="A120" s="97"/>
      <c r="B120" s="34"/>
      <c r="C120" s="9"/>
      <c r="D120" s="19"/>
      <c r="E120" s="19"/>
      <c r="F120" s="19"/>
    </row>
    <row r="121" customFormat="false" ht="15" hidden="false" customHeight="false" outlineLevel="0" collapsed="false">
      <c r="A121" s="97"/>
      <c r="B121" s="34"/>
      <c r="C121" s="9"/>
      <c r="D121" s="19"/>
      <c r="E121" s="19"/>
      <c r="F121" s="19"/>
    </row>
    <row r="122" customFormat="false" ht="15" hidden="false" customHeight="false" outlineLevel="0" collapsed="false">
      <c r="B122" s="9"/>
      <c r="C122" s="19"/>
      <c r="D122" s="11"/>
    </row>
    <row r="123" customFormat="false" ht="15" hidden="false" customHeight="false" outlineLevel="0" collapsed="false">
      <c r="A123" s="27" t="n">
        <v>45676</v>
      </c>
      <c r="B123" s="98" t="s">
        <v>156</v>
      </c>
      <c r="C123" s="99" t="s">
        <v>157</v>
      </c>
      <c r="D123" s="100"/>
    </row>
    <row r="124" customFormat="false" ht="15" hidden="false" customHeight="false" outlineLevel="0" collapsed="false">
      <c r="A124" s="101" t="n">
        <v>45698</v>
      </c>
      <c r="B124" s="9"/>
      <c r="C124" s="39" t="s">
        <v>158</v>
      </c>
      <c r="D124" s="100"/>
    </row>
    <row r="125" customFormat="false" ht="15" hidden="false" customHeight="false" outlineLevel="0" collapsed="false">
      <c r="A125" s="27"/>
      <c r="B125" s="98"/>
      <c r="C125" s="35" t="s">
        <v>159</v>
      </c>
      <c r="D125" s="102" t="s">
        <v>160</v>
      </c>
    </row>
    <row r="126" customFormat="false" ht="15" hidden="false" customHeight="false" outlineLevel="0" collapsed="false">
      <c r="B126" s="9"/>
      <c r="C126" s="18"/>
      <c r="D126" s="11"/>
    </row>
    <row r="127" customFormat="false" ht="15" hidden="false" customHeight="false" outlineLevel="0" collapsed="false">
      <c r="A127" s="27" t="n">
        <v>46205</v>
      </c>
      <c r="B127" s="98" t="s">
        <v>161</v>
      </c>
      <c r="C127" s="99" t="s">
        <v>162</v>
      </c>
      <c r="D127" s="100"/>
    </row>
    <row r="128" customFormat="false" ht="15" hidden="false" customHeight="false" outlineLevel="0" collapsed="false">
      <c r="A128" s="101" t="n">
        <v>45482</v>
      </c>
      <c r="B128" s="9"/>
      <c r="C128" s="39" t="s">
        <v>163</v>
      </c>
      <c r="D128" s="100"/>
    </row>
    <row r="129" customFormat="false" ht="15" hidden="false" customHeight="false" outlineLevel="0" collapsed="false">
      <c r="A129" s="27" t="n">
        <v>45672</v>
      </c>
      <c r="B129" s="98"/>
      <c r="C129" s="99"/>
      <c r="D129" s="102" t="s">
        <v>160</v>
      </c>
    </row>
    <row r="130" customFormat="false" ht="15" hidden="false" customHeight="false" outlineLevel="0" collapsed="false">
      <c r="B130" s="9"/>
      <c r="C130" s="19"/>
      <c r="D130" s="11"/>
    </row>
    <row r="131" customFormat="false" ht="15" hidden="false" customHeight="false" outlineLevel="0" collapsed="false">
      <c r="A131" s="103" t="n">
        <v>45588</v>
      </c>
      <c r="B131" s="104" t="s">
        <v>164</v>
      </c>
      <c r="C131" s="105" t="s">
        <v>162</v>
      </c>
      <c r="D131" s="102" t="s">
        <v>160</v>
      </c>
    </row>
    <row r="132" customFormat="false" ht="15" hidden="false" customHeight="false" outlineLevel="0" collapsed="false">
      <c r="A132" s="103"/>
      <c r="B132" s="104"/>
      <c r="C132" s="105" t="s">
        <v>165</v>
      </c>
      <c r="D132" s="106"/>
    </row>
    <row r="133" customFormat="false" ht="15" hidden="false" customHeight="false" outlineLevel="0" collapsed="false">
      <c r="A133" s="107" t="n">
        <v>45438</v>
      </c>
      <c r="B133" s="108" t="s">
        <v>166</v>
      </c>
      <c r="C133" s="109" t="s">
        <v>167</v>
      </c>
      <c r="D133" s="91" t="s">
        <v>143</v>
      </c>
    </row>
    <row r="134" customFormat="false" ht="15" hidden="false" customHeight="false" outlineLevel="0" collapsed="false">
      <c r="A134" s="107"/>
      <c r="B134" s="108"/>
      <c r="C134" s="109" t="s">
        <v>168</v>
      </c>
      <c r="D134" s="100" t="n">
        <v>193500</v>
      </c>
    </row>
    <row r="135" customFormat="false" ht="15" hidden="false" customHeight="false" outlineLevel="0" collapsed="false">
      <c r="A135" s="107" t="n">
        <v>45288</v>
      </c>
      <c r="B135" s="110" t="s">
        <v>169</v>
      </c>
      <c r="C135" s="111" t="s">
        <v>170</v>
      </c>
      <c r="D135" s="111" t="s">
        <v>108</v>
      </c>
    </row>
    <row r="136" customFormat="false" ht="15" hidden="false" customHeight="false" outlineLevel="0" collapsed="false">
      <c r="A136" s="107"/>
      <c r="B136" s="110"/>
      <c r="C136" s="111" t="s">
        <v>165</v>
      </c>
      <c r="D136" s="112"/>
    </row>
    <row r="137" customFormat="false" ht="15" hidden="false" customHeight="false" outlineLevel="0" collapsed="false">
      <c r="A137" s="107" t="n">
        <v>45148</v>
      </c>
      <c r="B137" s="110" t="s">
        <v>171</v>
      </c>
      <c r="C137" s="111" t="s">
        <v>172</v>
      </c>
      <c r="D137" s="113" t="s">
        <v>173</v>
      </c>
    </row>
    <row r="138" customFormat="false" ht="15" hidden="false" customHeight="false" outlineLevel="0" collapsed="false">
      <c r="A138" s="107"/>
      <c r="B138" s="110"/>
      <c r="C138" s="111"/>
      <c r="D138" s="112"/>
    </row>
    <row r="139" customFormat="false" ht="15" hidden="false" customHeight="false" outlineLevel="0" collapsed="false">
      <c r="A139" s="107" t="n">
        <v>44928</v>
      </c>
      <c r="B139" s="110" t="s">
        <v>174</v>
      </c>
      <c r="C139" s="111" t="s">
        <v>167</v>
      </c>
      <c r="D139" s="100" t="n">
        <v>24316</v>
      </c>
    </row>
    <row r="140" customFormat="false" ht="15" hidden="false" customHeight="false" outlineLevel="0" collapsed="false">
      <c r="A140" s="107"/>
      <c r="B140" s="110"/>
      <c r="C140" s="111"/>
      <c r="D140" s="91" t="s">
        <v>143</v>
      </c>
    </row>
    <row r="141" customFormat="false" ht="15" hidden="false" customHeight="false" outlineLevel="0" collapsed="false">
      <c r="A141" s="107" t="n">
        <v>44333</v>
      </c>
      <c r="B141" s="110" t="s">
        <v>175</v>
      </c>
      <c r="C141" s="111" t="s">
        <v>176</v>
      </c>
      <c r="D141" s="100"/>
    </row>
    <row r="142" customFormat="false" ht="15" hidden="false" customHeight="false" outlineLevel="0" collapsed="false">
      <c r="A142" s="107"/>
      <c r="B142" s="110"/>
      <c r="C142" s="111"/>
      <c r="D142" s="112"/>
    </row>
    <row r="143" customFormat="false" ht="15" hidden="false" customHeight="false" outlineLevel="0" collapsed="false">
      <c r="B143" s="9"/>
      <c r="D143" s="11"/>
    </row>
    <row r="147" customFormat="false" ht="15" hidden="false" customHeight="false" outlineLevel="0" collapsed="false">
      <c r="B147" s="9"/>
      <c r="D147" s="11"/>
    </row>
    <row r="148" customFormat="false" ht="15" hidden="false" customHeight="false" outlineLevel="0" collapsed="false">
      <c r="B148" s="9"/>
      <c r="D148" s="11"/>
    </row>
    <row r="149" customFormat="false" ht="15" hidden="false" customHeight="false" outlineLevel="0" collapsed="false">
      <c r="B149" s="9"/>
      <c r="D149" s="11"/>
    </row>
    <row r="150" customFormat="false" ht="15" hidden="false" customHeight="false" outlineLevel="0" collapsed="false">
      <c r="B150" s="9"/>
      <c r="D150" s="11"/>
    </row>
    <row r="151" customFormat="false" ht="15" hidden="false" customHeight="false" outlineLevel="0" collapsed="false">
      <c r="A151" s="2"/>
    </row>
    <row r="173" customFormat="false" ht="15" hidden="false" customHeight="false" outlineLevel="0" collapsed="false">
      <c r="B173" s="2"/>
    </row>
    <row r="174" customFormat="false" ht="15" hidden="false" customHeight="false" outlineLevel="0" collapsed="false">
      <c r="B174" s="2"/>
    </row>
    <row r="175" customFormat="false" ht="15" hidden="false" customHeight="false" outlineLevel="0" collapsed="false">
      <c r="B175" s="2"/>
    </row>
    <row r="176" customFormat="false" ht="15" hidden="false" customHeight="false" outlineLevel="0" collapsed="false">
      <c r="B17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8.57421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1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10" activeCellId="0" sqref="C10"/>
    </sheetView>
  </sheetViews>
  <sheetFormatPr defaultColWidth="10.14453125" defaultRowHeight="15" customHeight="false" zeroHeight="false" outlineLevelRow="0" outlineLevelCol="0"/>
  <cols>
    <col collapsed="false" customWidth="true" hidden="false" outlineLevel="0" max="1" min="1" style="8" width="10.86"/>
    <col collapsed="false" customWidth="true" hidden="false" outlineLevel="0" max="2" min="2" style="2" width="10.86"/>
    <col collapsed="false" customWidth="true" hidden="false" outlineLevel="0" max="3" min="3" style="2" width="23.57"/>
  </cols>
  <sheetData>
    <row r="3" customFormat="false" ht="15" hidden="false" customHeight="false" outlineLevel="0" collapsed="false">
      <c r="A3" s="8" t="s">
        <v>23</v>
      </c>
      <c r="B3" s="9" t="s">
        <v>24</v>
      </c>
      <c r="D3" s="2" t="s">
        <v>25</v>
      </c>
      <c r="E3" s="10" t="s">
        <v>26</v>
      </c>
      <c r="F3" s="11" t="s">
        <v>27</v>
      </c>
    </row>
    <row r="5" customFormat="false" ht="15" hidden="false" customHeight="false" outlineLevel="0" collapsed="false">
      <c r="A5" s="12"/>
      <c r="B5" s="13" t="s">
        <v>177</v>
      </c>
      <c r="C5" s="14" t="s">
        <v>178</v>
      </c>
      <c r="D5" s="15"/>
      <c r="E5" s="16"/>
      <c r="F5" s="15"/>
    </row>
    <row r="6" customFormat="false" ht="15" hidden="false" customHeight="false" outlineLevel="0" collapsed="false">
      <c r="C6" s="2" t="s">
        <v>30</v>
      </c>
      <c r="E6" s="17"/>
    </row>
    <row r="7" customFormat="false" ht="15" hidden="false" customHeight="false" outlineLevel="0" collapsed="false">
      <c r="B7" s="18" t="s">
        <v>179</v>
      </c>
      <c r="C7" s="19"/>
    </row>
    <row r="8" customFormat="false" ht="15" hidden="false" customHeight="false" outlineLevel="0" collapsed="false">
      <c r="A8" s="20"/>
      <c r="C8" s="20"/>
      <c r="D8" s="17"/>
    </row>
    <row r="9" customFormat="false" ht="15" hidden="false" customHeight="false" outlineLevel="0" collapsed="false">
      <c r="C9" s="9"/>
      <c r="D9" s="17"/>
      <c r="E9" s="17"/>
    </row>
    <row r="10" customFormat="false" ht="15" hidden="false" customHeight="false" outlineLevel="0" collapsed="false">
      <c r="C10" s="9"/>
      <c r="D10" s="21"/>
    </row>
    <row r="11" customFormat="false" ht="15" hidden="false" customHeight="false" outlineLevel="0" collapsed="false">
      <c r="D11" s="22"/>
    </row>
    <row r="12" customFormat="false" ht="15" hidden="false" customHeight="false" outlineLevel="0" collapsed="false">
      <c r="A12" s="23"/>
      <c r="C12" s="22"/>
      <c r="D12" s="17"/>
    </row>
    <row r="13" customFormat="false" ht="15" hidden="false" customHeight="false" outlineLevel="0" collapsed="false">
      <c r="A13" s="33" t="n">
        <v>46177</v>
      </c>
      <c r="B13" s="114" t="n">
        <v>0.413194444444444</v>
      </c>
      <c r="C13" s="35" t="s">
        <v>38</v>
      </c>
      <c r="D13" s="17"/>
      <c r="F13" s="17"/>
    </row>
    <row r="14" customFormat="false" ht="15" hidden="false" customHeight="false" outlineLevel="0" collapsed="false">
      <c r="D14" s="17"/>
      <c r="F14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3" activeCellId="0" sqref="A13"/>
    </sheetView>
  </sheetViews>
  <sheetFormatPr defaultColWidth="10.14453125" defaultRowHeight="15" customHeight="false" zeroHeight="false" outlineLevelRow="0" outlineLevelCol="0"/>
  <cols>
    <col collapsed="false" customWidth="true" hidden="false" outlineLevel="0" max="1" min="1" style="8" width="10.86"/>
    <col collapsed="false" customWidth="true" hidden="false" outlineLevel="0" max="2" min="2" style="2" width="10.86"/>
    <col collapsed="false" customWidth="true" hidden="false" outlineLevel="0" max="3" min="3" style="2" width="23.57"/>
  </cols>
  <sheetData>
    <row r="3" customFormat="false" ht="15" hidden="false" customHeight="false" outlineLevel="0" collapsed="false">
      <c r="A3" s="8" t="s">
        <v>23</v>
      </c>
      <c r="B3" s="9" t="s">
        <v>24</v>
      </c>
      <c r="D3" s="2" t="s">
        <v>25</v>
      </c>
      <c r="E3" s="10" t="s">
        <v>26</v>
      </c>
      <c r="F3" s="11" t="s">
        <v>27</v>
      </c>
    </row>
    <row r="7" customFormat="false" ht="15" hidden="false" customHeight="false" outlineLevel="0" collapsed="false">
      <c r="A7" s="8" t="s">
        <v>23</v>
      </c>
      <c r="B7" s="9" t="s">
        <v>24</v>
      </c>
      <c r="D7" s="2" t="s">
        <v>25</v>
      </c>
      <c r="E7" s="10" t="s">
        <v>26</v>
      </c>
      <c r="F7" s="11" t="s">
        <v>27</v>
      </c>
    </row>
    <row r="9" customFormat="false" ht="15" hidden="false" customHeight="false" outlineLevel="0" collapsed="false">
      <c r="A9" s="12"/>
      <c r="B9" s="13" t="s">
        <v>177</v>
      </c>
      <c r="C9" s="14" t="s">
        <v>180</v>
      </c>
      <c r="D9" s="15"/>
      <c r="E9" s="16"/>
      <c r="F9" s="15"/>
    </row>
    <row r="10" customFormat="false" ht="15" hidden="false" customHeight="false" outlineLevel="0" collapsed="false">
      <c r="E10" s="17"/>
    </row>
    <row r="11" customFormat="false" ht="15" hidden="false" customHeight="false" outlineLevel="0" collapsed="false">
      <c r="B11" s="18" t="s">
        <v>179</v>
      </c>
      <c r="C11" s="19"/>
    </row>
    <row r="12" customFormat="false" ht="15" hidden="false" customHeight="false" outlineLevel="0" collapsed="false">
      <c r="A12" s="20"/>
      <c r="C12" s="20"/>
      <c r="D12" s="17"/>
    </row>
    <row r="13" customFormat="false" ht="15" hidden="false" customHeight="false" outlineLevel="0" collapsed="false">
      <c r="C13" s="9"/>
      <c r="D13" s="17"/>
      <c r="E13" s="17"/>
    </row>
    <row r="14" customFormat="false" ht="15" hidden="false" customHeight="false" outlineLevel="0" collapsed="false">
      <c r="C14" s="9"/>
      <c r="D14" s="21"/>
    </row>
    <row r="15" customFormat="false" ht="15" hidden="false" customHeight="false" outlineLevel="0" collapsed="false">
      <c r="D15" s="22"/>
    </row>
    <row r="16" customFormat="false" ht="15" hidden="false" customHeight="false" outlineLevel="0" collapsed="false">
      <c r="A16" s="23"/>
      <c r="C16" s="22"/>
      <c r="D16" s="17"/>
    </row>
    <row r="17" customFormat="false" ht="15" hidden="false" customHeight="false" outlineLevel="0" collapsed="false">
      <c r="A17" s="33" t="n">
        <v>46177</v>
      </c>
      <c r="B17" s="114" t="n">
        <v>0.413194444444444</v>
      </c>
      <c r="C17" s="35" t="s">
        <v>38</v>
      </c>
      <c r="D17" s="17"/>
      <c r="F17" s="17"/>
    </row>
    <row r="18" customFormat="false" ht="15" hidden="false" customHeight="false" outlineLevel="0" collapsed="false">
      <c r="D18" s="17"/>
      <c r="F18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9"/>
  <sheetViews>
    <sheetView showFormulas="false" showGridLines="true" showRowColHeaders="true" showZeros="true" rightToLeft="false" tabSelected="false" showOutlineSymbols="true" defaultGridColor="true" view="normal" topLeftCell="A47" colorId="64" zoomScale="130" zoomScaleNormal="130" zoomScalePageLayoutView="100" workbookViewId="0">
      <selection pane="topLeft" activeCell="A4" activeCellId="0" sqref="A4"/>
    </sheetView>
  </sheetViews>
  <sheetFormatPr defaultColWidth="8.57421875" defaultRowHeight="15" customHeight="false" zeroHeight="false" outlineLevelRow="0" outlineLevelCol="0"/>
  <cols>
    <col collapsed="false" customWidth="true" hidden="false" outlineLevel="0" max="2" min="2" style="2" width="13"/>
    <col collapsed="false" customWidth="true" hidden="false" outlineLevel="0" max="3" min="3" style="115" width="10.29"/>
    <col collapsed="false" customWidth="true" hidden="false" outlineLevel="0" max="4" min="4" style="2" width="11.86"/>
    <col collapsed="false" customWidth="true" hidden="false" outlineLevel="0" max="5" min="5" style="2" width="7"/>
    <col collapsed="false" customWidth="true" hidden="false" outlineLevel="0" max="6" min="6" style="2" width="4"/>
    <col collapsed="false" customWidth="true" hidden="false" outlineLevel="0" max="7" min="7" style="8" width="10"/>
    <col collapsed="false" customWidth="true" hidden="false" outlineLevel="0" max="8" min="8" style="2" width="12.29"/>
    <col collapsed="false" customWidth="true" hidden="false" outlineLevel="0" max="9" min="9" style="8" width="13.14"/>
  </cols>
  <sheetData>
    <row r="1" customFormat="false" ht="15" hidden="false" customHeight="false" outlineLevel="0" collapsed="false">
      <c r="A1" s="116" t="s">
        <v>181</v>
      </c>
      <c r="B1" s="117"/>
      <c r="C1" s="118"/>
      <c r="D1" s="117"/>
      <c r="E1" s="117"/>
      <c r="F1" s="117"/>
      <c r="G1" s="119"/>
      <c r="H1" s="117"/>
      <c r="I1" s="117"/>
    </row>
    <row r="2" customFormat="false" ht="15" hidden="false" customHeight="false" outlineLevel="0" collapsed="false">
      <c r="A2" s="116"/>
      <c r="B2" s="120" t="s">
        <v>182</v>
      </c>
      <c r="C2" s="118" t="s">
        <v>183</v>
      </c>
      <c r="D2" s="117"/>
      <c r="E2" s="117"/>
      <c r="F2" s="117"/>
      <c r="G2" s="119"/>
      <c r="H2" s="117"/>
      <c r="I2" s="117"/>
    </row>
    <row r="3" customFormat="false" ht="15" hidden="false" customHeight="false" outlineLevel="0" collapsed="false">
      <c r="A3" s="116"/>
      <c r="B3" s="117"/>
      <c r="C3" s="118"/>
      <c r="D3" s="117"/>
      <c r="E3" s="117"/>
      <c r="F3" s="117"/>
      <c r="G3" s="119"/>
      <c r="H3" s="117"/>
      <c r="I3" s="117"/>
    </row>
    <row r="4" customFormat="false" ht="15" hidden="false" customHeight="false" outlineLevel="0" collapsed="false">
      <c r="A4" s="116"/>
      <c r="B4" s="121" t="s">
        <v>184</v>
      </c>
      <c r="C4" s="118"/>
      <c r="D4" s="120" t="s">
        <v>185</v>
      </c>
      <c r="E4" s="117"/>
      <c r="F4" s="117"/>
      <c r="G4" s="120" t="s">
        <v>186</v>
      </c>
      <c r="H4" s="120" t="s">
        <v>187</v>
      </c>
      <c r="I4" s="117"/>
    </row>
    <row r="5" customFormat="false" ht="15" hidden="false" customHeight="false" outlineLevel="0" collapsed="false">
      <c r="A5" s="116"/>
      <c r="B5" s="121" t="s">
        <v>184</v>
      </c>
      <c r="C5" s="19" t="s">
        <v>156</v>
      </c>
      <c r="D5" s="117" t="s">
        <v>188</v>
      </c>
      <c r="E5" s="117"/>
      <c r="F5" s="117"/>
      <c r="G5" s="122" t="s">
        <v>189</v>
      </c>
      <c r="H5" s="120" t="s">
        <v>187</v>
      </c>
      <c r="I5" s="117"/>
    </row>
    <row r="6" customFormat="false" ht="15" hidden="false" customHeight="false" outlineLevel="0" collapsed="false">
      <c r="A6" s="116"/>
      <c r="B6" s="117"/>
      <c r="C6" s="118"/>
      <c r="D6" s="117"/>
      <c r="E6" s="117"/>
      <c r="F6" s="117"/>
      <c r="G6" s="119"/>
      <c r="H6" s="117"/>
      <c r="I6" s="117"/>
    </row>
    <row r="7" customFormat="false" ht="15" hidden="false" customHeight="false" outlineLevel="0" collapsed="false">
      <c r="A7" s="116"/>
      <c r="B7" s="123" t="s">
        <v>190</v>
      </c>
      <c r="C7" s="115" t="n">
        <v>45827</v>
      </c>
      <c r="D7" s="118" t="s">
        <v>191</v>
      </c>
      <c r="E7" s="2" t="n">
        <v>9</v>
      </c>
      <c r="F7" s="2" t="n">
        <v>40</v>
      </c>
      <c r="H7" s="117" t="s">
        <v>192</v>
      </c>
      <c r="I7" s="117"/>
    </row>
    <row r="8" customFormat="false" ht="15" hidden="false" customHeight="false" outlineLevel="0" collapsed="false">
      <c r="A8" s="116"/>
      <c r="B8" s="117"/>
      <c r="C8" s="118"/>
      <c r="D8" s="117"/>
      <c r="E8" s="117"/>
      <c r="F8" s="117"/>
      <c r="G8" s="119"/>
      <c r="H8" s="117"/>
      <c r="I8" s="117"/>
    </row>
    <row r="9" customFormat="false" ht="15" hidden="false" customHeight="false" outlineLevel="0" collapsed="false">
      <c r="A9" s="116"/>
      <c r="B9" s="124" t="s">
        <v>13</v>
      </c>
      <c r="C9" s="115" t="n">
        <v>45939</v>
      </c>
      <c r="D9" s="125" t="s">
        <v>193</v>
      </c>
      <c r="E9" s="125" t="n">
        <v>9</v>
      </c>
      <c r="F9" s="125" t="n">
        <v>30</v>
      </c>
      <c r="H9" s="117" t="s">
        <v>194</v>
      </c>
      <c r="I9" s="117"/>
    </row>
    <row r="10" customFormat="false" ht="15" hidden="false" customHeight="false" outlineLevel="0" collapsed="false">
      <c r="A10" s="116"/>
      <c r="B10" s="124" t="s">
        <v>195</v>
      </c>
      <c r="C10" s="118" t="n">
        <v>45939</v>
      </c>
      <c r="D10" s="117" t="s">
        <v>188</v>
      </c>
      <c r="E10" s="117" t="n">
        <v>9</v>
      </c>
      <c r="F10" s="117" t="n">
        <v>40</v>
      </c>
      <c r="G10" s="119"/>
      <c r="H10" s="117" t="s">
        <v>194</v>
      </c>
      <c r="I10" s="117"/>
    </row>
    <row r="11" customFormat="false" ht="15" hidden="false" customHeight="false" outlineLevel="0" collapsed="false">
      <c r="A11" s="116"/>
      <c r="B11" s="124" t="s">
        <v>17</v>
      </c>
      <c r="C11" s="118" t="n">
        <v>45952</v>
      </c>
      <c r="D11" s="117" t="s">
        <v>196</v>
      </c>
      <c r="E11" s="2" t="n">
        <v>9</v>
      </c>
      <c r="F11" s="2" t="n">
        <v>36</v>
      </c>
      <c r="G11" s="117"/>
      <c r="H11" s="117" t="s">
        <v>197</v>
      </c>
      <c r="I11" s="119"/>
    </row>
    <row r="12" customFormat="false" ht="15" hidden="false" customHeight="false" outlineLevel="0" collapsed="false">
      <c r="A12" s="116"/>
      <c r="B12" s="124" t="s">
        <v>15</v>
      </c>
      <c r="C12" s="118" t="n">
        <v>45952</v>
      </c>
      <c r="D12" s="117" t="s">
        <v>196</v>
      </c>
      <c r="E12" s="117" t="n">
        <v>9</v>
      </c>
      <c r="F12" s="117" t="n">
        <v>35</v>
      </c>
      <c r="G12" s="119"/>
      <c r="H12" s="117" t="s">
        <v>197</v>
      </c>
      <c r="I12" s="119"/>
    </row>
    <row r="13" customFormat="false" ht="15" hidden="false" customHeight="false" outlineLevel="0" collapsed="false">
      <c r="A13" s="116"/>
      <c r="B13" s="125"/>
      <c r="C13" s="118"/>
      <c r="D13" s="117"/>
      <c r="E13" s="117"/>
      <c r="F13" s="117"/>
      <c r="G13" s="119"/>
      <c r="H13" s="117"/>
      <c r="I13" s="119"/>
    </row>
    <row r="14" customFormat="false" ht="15" hidden="false" customHeight="false" outlineLevel="0" collapsed="false">
      <c r="A14" s="116"/>
      <c r="I14" s="117"/>
    </row>
    <row r="15" customFormat="false" ht="15" hidden="false" customHeight="false" outlineLevel="0" collapsed="false">
      <c r="A15" s="116"/>
      <c r="I15" s="117"/>
    </row>
    <row r="16" customFormat="false" ht="15" hidden="false" customHeight="false" outlineLevel="0" collapsed="false">
      <c r="A16" s="126"/>
      <c r="J16" s="19"/>
    </row>
    <row r="17" customFormat="false" ht="15" hidden="false" customHeight="false" outlineLevel="0" collapsed="false">
      <c r="A17" s="127"/>
      <c r="B17" s="128" t="s">
        <v>198</v>
      </c>
      <c r="C17" s="129" t="s">
        <v>199</v>
      </c>
      <c r="D17" s="128"/>
      <c r="E17" s="130" t="s">
        <v>27</v>
      </c>
      <c r="F17" s="130"/>
      <c r="G17" s="131" t="s">
        <v>200</v>
      </c>
      <c r="H17" s="128" t="s">
        <v>201</v>
      </c>
      <c r="I17" s="128" t="s">
        <v>202</v>
      </c>
      <c r="J17" s="132"/>
    </row>
    <row r="18" customFormat="false" ht="15" hidden="false" customHeight="false" outlineLevel="0" collapsed="false">
      <c r="A18" s="61" t="s">
        <v>185</v>
      </c>
      <c r="B18" s="133" t="s">
        <v>106</v>
      </c>
      <c r="C18" s="134" t="n">
        <v>45342</v>
      </c>
      <c r="D18" s="61" t="s">
        <v>203</v>
      </c>
      <c r="E18" s="135"/>
      <c r="F18" s="136" t="s">
        <v>204</v>
      </c>
      <c r="G18" s="60"/>
      <c r="H18" s="135"/>
      <c r="I18" s="60"/>
      <c r="J18" s="132"/>
    </row>
    <row r="19" customFormat="false" ht="15" hidden="false" customHeight="false" outlineLevel="0" collapsed="false">
      <c r="A19" s="61"/>
      <c r="B19" s="137" t="s">
        <v>205</v>
      </c>
      <c r="C19" s="134" t="n">
        <v>45537</v>
      </c>
      <c r="D19" s="61" t="s">
        <v>206</v>
      </c>
      <c r="E19" s="135"/>
      <c r="F19" s="138" t="s">
        <v>207</v>
      </c>
      <c r="G19" s="60" t="n">
        <v>45691</v>
      </c>
      <c r="H19" s="135"/>
      <c r="I19" s="60"/>
      <c r="J19" s="132"/>
    </row>
    <row r="20" customFormat="false" ht="15" hidden="false" customHeight="false" outlineLevel="0" collapsed="false">
      <c r="A20" s="22"/>
      <c r="B20" s="139"/>
      <c r="C20" s="140"/>
      <c r="D20" s="43" t="s">
        <v>208</v>
      </c>
      <c r="F20" s="8"/>
      <c r="H20" s="8"/>
      <c r="J20" s="132"/>
    </row>
    <row r="21" customFormat="false" ht="15" hidden="false" customHeight="false" outlineLevel="0" collapsed="false">
      <c r="A21" s="9"/>
      <c r="C21" s="141" t="n">
        <v>45726</v>
      </c>
      <c r="D21" s="142" t="s">
        <v>209</v>
      </c>
      <c r="E21" s="142"/>
      <c r="F21" s="143"/>
      <c r="G21" s="143"/>
      <c r="H21" s="144"/>
      <c r="I21" s="145"/>
      <c r="J21" s="132"/>
    </row>
    <row r="22" customFormat="false" ht="15" hidden="false" customHeight="false" outlineLevel="0" collapsed="false">
      <c r="A22" s="9"/>
      <c r="C22" s="146"/>
      <c r="D22" s="147"/>
      <c r="E22" s="147"/>
      <c r="F22" s="148"/>
      <c r="G22" s="148"/>
      <c r="H22" s="119"/>
      <c r="I22" s="119"/>
      <c r="J22" s="132"/>
    </row>
    <row r="23" customFormat="false" ht="15" hidden="false" customHeight="false" outlineLevel="0" collapsed="false">
      <c r="A23" s="126"/>
      <c r="J23" s="132"/>
    </row>
    <row r="24" customFormat="false" ht="15" hidden="false" customHeight="false" outlineLevel="0" collapsed="false">
      <c r="A24" s="149"/>
      <c r="B24" s="132"/>
      <c r="C24" s="150"/>
      <c r="D24" s="132"/>
      <c r="E24" s="132"/>
      <c r="F24" s="132"/>
      <c r="G24" s="151"/>
      <c r="H24" s="132"/>
      <c r="I24" s="132"/>
      <c r="J24" s="132"/>
    </row>
    <row r="25" customFormat="false" ht="15" hidden="false" customHeight="false" outlineLevel="0" collapsed="false">
      <c r="A25" s="126"/>
    </row>
    <row r="26" customFormat="false" ht="15" hidden="false" customHeight="false" outlineLevel="0" collapsed="false">
      <c r="A26" s="126"/>
    </row>
    <row r="27" customFormat="false" ht="15" hidden="false" customHeight="false" outlineLevel="0" collapsed="false">
      <c r="A27" s="152"/>
      <c r="B27" s="153" t="s">
        <v>198</v>
      </c>
      <c r="C27" s="154" t="s">
        <v>199</v>
      </c>
      <c r="D27" s="153"/>
      <c r="E27" s="155" t="s">
        <v>27</v>
      </c>
      <c r="F27" s="155"/>
      <c r="G27" s="156" t="s">
        <v>200</v>
      </c>
      <c r="H27" s="153" t="s">
        <v>201</v>
      </c>
      <c r="I27" s="153" t="s">
        <v>202</v>
      </c>
      <c r="J27" s="157"/>
    </row>
    <row r="28" customFormat="false" ht="15" hidden="false" customHeight="false" outlineLevel="0" collapsed="false">
      <c r="A28" s="126" t="s">
        <v>210</v>
      </c>
      <c r="D28" s="9" t="s">
        <v>211</v>
      </c>
      <c r="H28" s="158" t="s">
        <v>212</v>
      </c>
      <c r="I28" s="159" t="n">
        <v>45712</v>
      </c>
      <c r="J28" s="157"/>
    </row>
    <row r="29" customFormat="false" ht="15" hidden="false" customHeight="false" outlineLevel="0" collapsed="false">
      <c r="A29" s="126"/>
      <c r="J29" s="157"/>
    </row>
    <row r="30" customFormat="false" ht="15" hidden="false" customHeight="false" outlineLevel="0" collapsed="false">
      <c r="A30" s="9"/>
      <c r="B30" s="19"/>
      <c r="D30" s="9"/>
      <c r="E30" s="9"/>
      <c r="F30" s="9"/>
      <c r="H30" s="9"/>
      <c r="I30" s="160" t="s">
        <v>213</v>
      </c>
      <c r="J30" s="157"/>
    </row>
    <row r="31" customFormat="false" ht="15" hidden="false" customHeight="false" outlineLevel="0" collapsed="false">
      <c r="A31" s="161"/>
      <c r="B31" s="157"/>
      <c r="C31" s="162"/>
      <c r="D31" s="161"/>
      <c r="E31" s="161"/>
      <c r="F31" s="161"/>
      <c r="G31" s="163"/>
      <c r="H31" s="161"/>
      <c r="I31" s="163"/>
      <c r="J31" s="157"/>
    </row>
    <row r="32" customFormat="false" ht="15" hidden="false" customHeight="false" outlineLevel="0" collapsed="false">
      <c r="A32" s="126"/>
    </row>
    <row r="33" customFormat="false" ht="15" hidden="false" customHeight="false" outlineLevel="0" collapsed="false">
      <c r="A33" s="126"/>
    </row>
    <row r="34" customFormat="false" ht="15" hidden="false" customHeight="false" outlineLevel="0" collapsed="false">
      <c r="A34" s="164"/>
      <c r="B34" s="165" t="s">
        <v>198</v>
      </c>
      <c r="C34" s="166" t="s">
        <v>199</v>
      </c>
      <c r="D34" s="165"/>
      <c r="E34" s="167" t="s">
        <v>27</v>
      </c>
      <c r="F34" s="167"/>
      <c r="G34" s="168" t="s">
        <v>200</v>
      </c>
      <c r="H34" s="165" t="s">
        <v>201</v>
      </c>
      <c r="I34" s="165" t="s">
        <v>202</v>
      </c>
      <c r="J34" s="132"/>
    </row>
    <row r="35" customFormat="false" ht="15" hidden="false" customHeight="false" outlineLevel="0" collapsed="false">
      <c r="A35" s="161" t="s">
        <v>214</v>
      </c>
      <c r="B35" s="133" t="s">
        <v>56</v>
      </c>
      <c r="C35" s="150" t="n">
        <v>45475</v>
      </c>
      <c r="D35" s="158" t="s">
        <v>215</v>
      </c>
      <c r="E35" s="169" t="n">
        <v>97</v>
      </c>
      <c r="F35" s="158" t="s">
        <v>204</v>
      </c>
      <c r="H35" s="158" t="s">
        <v>216</v>
      </c>
      <c r="I35" s="151" t="n">
        <v>45705</v>
      </c>
      <c r="J35" s="132"/>
    </row>
    <row r="36" customFormat="false" ht="15" hidden="false" customHeight="false" outlineLevel="0" collapsed="false">
      <c r="A36" s="158"/>
      <c r="B36" s="170" t="s">
        <v>60</v>
      </c>
      <c r="C36" s="150" t="n">
        <v>45604</v>
      </c>
      <c r="D36" s="158" t="s">
        <v>215</v>
      </c>
      <c r="E36" s="169" t="n">
        <v>178</v>
      </c>
      <c r="F36" s="158" t="s">
        <v>204</v>
      </c>
      <c r="H36" s="171" t="s">
        <v>217</v>
      </c>
      <c r="I36" s="172" t="n">
        <v>45705</v>
      </c>
      <c r="J36" s="132"/>
    </row>
    <row r="37" customFormat="false" ht="15" hidden="false" customHeight="false" outlineLevel="0" collapsed="false">
      <c r="A37" s="9"/>
      <c r="B37" s="173" t="s">
        <v>17</v>
      </c>
      <c r="C37" s="115" t="n">
        <v>45704</v>
      </c>
      <c r="D37" s="32" t="s">
        <v>218</v>
      </c>
      <c r="J37" s="132"/>
    </row>
    <row r="38" customFormat="false" ht="15" hidden="false" customHeight="false" outlineLevel="0" collapsed="false">
      <c r="A38" s="9"/>
      <c r="B38" s="9" t="s">
        <v>131</v>
      </c>
      <c r="C38" s="115" t="n">
        <v>45705</v>
      </c>
      <c r="D38" s="9" t="s">
        <v>219</v>
      </c>
      <c r="H38" s="9"/>
      <c r="J38" s="132"/>
    </row>
    <row r="39" customFormat="false" ht="15" hidden="false" customHeight="false" outlineLevel="0" collapsed="false">
      <c r="A39" s="9"/>
      <c r="C39" s="174"/>
      <c r="D39" s="9"/>
      <c r="H39" s="9"/>
      <c r="J39" s="132"/>
    </row>
    <row r="40" customFormat="false" ht="15" hidden="false" customHeight="false" outlineLevel="0" collapsed="false">
      <c r="A40" s="9"/>
      <c r="C40" s="174" t="s">
        <v>220</v>
      </c>
      <c r="D40" s="32" t="s">
        <v>221</v>
      </c>
      <c r="H40" s="9"/>
      <c r="J40" s="132"/>
    </row>
    <row r="41" customFormat="false" ht="15" hidden="false" customHeight="false" outlineLevel="0" collapsed="false">
      <c r="A41" s="9"/>
      <c r="C41" s="175" t="n">
        <v>45717</v>
      </c>
      <c r="D41" s="176" t="s">
        <v>25</v>
      </c>
      <c r="E41" s="177" t="s">
        <v>222</v>
      </c>
      <c r="F41" s="176"/>
      <c r="G41" s="178"/>
      <c r="H41" s="176" t="s">
        <v>223</v>
      </c>
      <c r="I41" s="179" t="s">
        <v>224</v>
      </c>
      <c r="J41" s="132"/>
    </row>
    <row r="42" customFormat="false" ht="15" hidden="false" customHeight="false" outlineLevel="0" collapsed="false">
      <c r="A42" s="9"/>
      <c r="C42" s="180"/>
      <c r="D42" s="9" t="s">
        <v>225</v>
      </c>
      <c r="H42" s="9" t="s">
        <v>226</v>
      </c>
      <c r="J42" s="132"/>
    </row>
    <row r="43" customFormat="false" ht="15" hidden="false" customHeight="false" outlineLevel="0" collapsed="false">
      <c r="A43" s="181"/>
      <c r="B43" s="182" t="s">
        <v>227</v>
      </c>
      <c r="C43" s="183" t="n">
        <v>45805</v>
      </c>
      <c r="D43" s="184" t="n">
        <v>0.409722222222222</v>
      </c>
      <c r="E43" s="181" t="s">
        <v>228</v>
      </c>
      <c r="F43" s="181"/>
      <c r="G43" s="185"/>
      <c r="H43" s="181"/>
      <c r="I43" s="185"/>
      <c r="J43" s="186"/>
    </row>
    <row r="44" customFormat="false" ht="15" hidden="false" customHeight="false" outlineLevel="0" collapsed="false">
      <c r="A44" s="158"/>
      <c r="B44" s="132"/>
      <c r="C44" s="187" t="n">
        <v>45805</v>
      </c>
      <c r="D44" s="169" t="s">
        <v>229</v>
      </c>
      <c r="E44" s="169"/>
      <c r="F44" s="169"/>
      <c r="G44" s="188"/>
      <c r="H44" s="132"/>
      <c r="I44" s="151"/>
      <c r="J44" s="132"/>
    </row>
    <row r="45" customFormat="false" ht="15" hidden="false" customHeight="false" outlineLevel="0" collapsed="false">
      <c r="A45" s="9"/>
    </row>
    <row r="46" customFormat="false" ht="15" hidden="false" customHeight="false" outlineLevel="0" collapsed="false">
      <c r="A46" s="9"/>
      <c r="C46" s="174"/>
      <c r="D46" s="9"/>
    </row>
    <row r="47" customFormat="false" ht="15" hidden="false" customHeight="false" outlineLevel="0" collapsed="false">
      <c r="A47" s="164"/>
      <c r="B47" s="165" t="s">
        <v>198</v>
      </c>
      <c r="C47" s="166" t="s">
        <v>199</v>
      </c>
      <c r="D47" s="165"/>
      <c r="E47" s="167" t="s">
        <v>27</v>
      </c>
      <c r="F47" s="167"/>
      <c r="G47" s="168" t="s">
        <v>200</v>
      </c>
      <c r="H47" s="165" t="s">
        <v>201</v>
      </c>
      <c r="I47" s="165" t="s">
        <v>202</v>
      </c>
      <c r="J47" s="132"/>
    </row>
    <row r="48" customFormat="false" ht="15" hidden="false" customHeight="false" outlineLevel="0" collapsed="false">
      <c r="A48" s="158" t="s">
        <v>214</v>
      </c>
      <c r="B48" s="133" t="s">
        <v>81</v>
      </c>
      <c r="C48" s="189" t="n">
        <v>45588</v>
      </c>
      <c r="D48" s="169" t="s">
        <v>230</v>
      </c>
      <c r="E48" s="132"/>
      <c r="F48" s="158" t="s">
        <v>204</v>
      </c>
      <c r="H48" s="158" t="s">
        <v>231</v>
      </c>
      <c r="I48" s="151" t="n">
        <v>45630</v>
      </c>
      <c r="J48" s="132"/>
    </row>
    <row r="49" customFormat="false" ht="15" hidden="false" customHeight="false" outlineLevel="0" collapsed="false">
      <c r="A49" s="158"/>
      <c r="B49" s="133" t="s">
        <v>81</v>
      </c>
      <c r="C49" s="150"/>
      <c r="D49" s="158"/>
      <c r="E49" s="132"/>
      <c r="F49" s="158"/>
      <c r="H49" s="171" t="s">
        <v>232</v>
      </c>
      <c r="I49" s="151" t="n">
        <v>45630</v>
      </c>
      <c r="J49" s="132"/>
    </row>
    <row r="50" customFormat="false" ht="15" hidden="false" customHeight="false" outlineLevel="0" collapsed="false">
      <c r="A50" s="158"/>
      <c r="B50" s="173" t="s">
        <v>15</v>
      </c>
      <c r="C50" s="190" t="n">
        <v>45704</v>
      </c>
      <c r="D50" s="32" t="s">
        <v>233</v>
      </c>
      <c r="E50" s="9"/>
      <c r="F50" s="9"/>
      <c r="H50" s="9"/>
      <c r="J50" s="132"/>
    </row>
    <row r="51" customFormat="false" ht="15" hidden="false" customHeight="false" outlineLevel="0" collapsed="false">
      <c r="A51" s="9"/>
      <c r="B51" s="9" t="s">
        <v>131</v>
      </c>
      <c r="C51" s="115" t="n">
        <v>45709</v>
      </c>
      <c r="D51" s="9" t="s">
        <v>219</v>
      </c>
      <c r="H51" s="9"/>
      <c r="J51" s="132"/>
    </row>
    <row r="52" customFormat="false" ht="15" hidden="false" customHeight="false" outlineLevel="0" collapsed="false">
      <c r="A52" s="9"/>
      <c r="C52" s="174" t="s">
        <v>220</v>
      </c>
      <c r="D52" s="9" t="s">
        <v>234</v>
      </c>
      <c r="H52" s="9"/>
      <c r="J52" s="132"/>
    </row>
    <row r="53" customFormat="false" ht="15" hidden="false" customHeight="false" outlineLevel="0" collapsed="false">
      <c r="A53" s="9"/>
      <c r="C53" s="174" t="n">
        <v>45712</v>
      </c>
      <c r="D53" s="9" t="s">
        <v>235</v>
      </c>
      <c r="H53" s="9"/>
      <c r="J53" s="132"/>
    </row>
    <row r="54" customFormat="false" ht="15" hidden="false" customHeight="false" outlineLevel="0" collapsed="false">
      <c r="A54" s="9"/>
      <c r="C54" s="191" t="n">
        <v>45717</v>
      </c>
      <c r="D54" s="192" t="s">
        <v>25</v>
      </c>
      <c r="E54" s="193" t="s">
        <v>222</v>
      </c>
      <c r="F54" s="192"/>
      <c r="G54" s="194"/>
      <c r="H54" s="192" t="s">
        <v>223</v>
      </c>
      <c r="I54" s="195"/>
      <c r="J54" s="132"/>
    </row>
    <row r="55" customFormat="false" ht="15" hidden="false" customHeight="false" outlineLevel="0" collapsed="false">
      <c r="A55" s="9"/>
      <c r="C55" s="9" t="s">
        <v>225</v>
      </c>
      <c r="F55" s="8"/>
      <c r="G55" s="196"/>
      <c r="H55" s="197"/>
      <c r="I55" s="196"/>
      <c r="J55" s="132"/>
    </row>
    <row r="56" customFormat="false" ht="15" hidden="false" customHeight="false" outlineLevel="0" collapsed="false">
      <c r="A56" s="9"/>
      <c r="C56" s="9" t="s">
        <v>236</v>
      </c>
      <c r="F56" s="8"/>
      <c r="G56" s="196"/>
      <c r="H56" s="197"/>
      <c r="I56" s="198" t="s">
        <v>224</v>
      </c>
      <c r="J56" s="132"/>
    </row>
    <row r="57" customFormat="false" ht="15" hidden="false" customHeight="false" outlineLevel="0" collapsed="false">
      <c r="A57" s="9"/>
      <c r="B57" s="199" t="s">
        <v>227</v>
      </c>
      <c r="C57" s="200" t="n">
        <v>45805</v>
      </c>
      <c r="D57" s="201" t="n">
        <v>0</v>
      </c>
      <c r="J57" s="132"/>
    </row>
    <row r="58" customFormat="false" ht="15" hidden="false" customHeight="false" outlineLevel="0" collapsed="false">
      <c r="A58" s="158"/>
      <c r="B58" s="132"/>
      <c r="C58" s="202" t="n">
        <v>45805</v>
      </c>
      <c r="D58" s="158" t="s">
        <v>237</v>
      </c>
      <c r="E58" s="132"/>
      <c r="F58" s="132"/>
      <c r="G58" s="151"/>
      <c r="H58" s="132"/>
      <c r="I58" s="151"/>
      <c r="J58" s="132"/>
    </row>
    <row r="59" customFormat="false" ht="15" hidden="false" customHeight="false" outlineLevel="0" collapsed="false">
      <c r="A59" s="9"/>
      <c r="B59" s="19"/>
      <c r="C59" s="174"/>
      <c r="D59" s="9"/>
      <c r="E59" s="19"/>
      <c r="F59" s="19"/>
      <c r="H59" s="19"/>
      <c r="J59" s="19"/>
    </row>
    <row r="60" customFormat="false" ht="15" hidden="false" customHeight="false" outlineLevel="0" collapsed="false">
      <c r="A60" s="9"/>
      <c r="B60" s="19"/>
      <c r="C60" s="174"/>
      <c r="D60" s="9"/>
      <c r="E60" s="19"/>
      <c r="F60" s="19"/>
      <c r="H60" s="19"/>
      <c r="J60" s="19"/>
    </row>
    <row r="61" customFormat="false" ht="15" hidden="false" customHeight="false" outlineLevel="0" collapsed="false">
      <c r="A61" s="9"/>
      <c r="D61" s="9"/>
      <c r="E61" s="9"/>
      <c r="F61" s="9"/>
      <c r="H61" s="9"/>
    </row>
    <row r="62" customFormat="false" ht="15" hidden="false" customHeight="false" outlineLevel="0" collapsed="false">
      <c r="A62" s="203"/>
      <c r="B62" s="204" t="s">
        <v>198</v>
      </c>
      <c r="C62" s="205" t="s">
        <v>199</v>
      </c>
      <c r="D62" s="204"/>
      <c r="E62" s="206" t="s">
        <v>27</v>
      </c>
      <c r="F62" s="206"/>
      <c r="G62" s="207" t="s">
        <v>200</v>
      </c>
      <c r="H62" s="204" t="s">
        <v>201</v>
      </c>
      <c r="I62" s="204" t="s">
        <v>202</v>
      </c>
      <c r="J62" s="208"/>
    </row>
    <row r="63" customFormat="false" ht="15" hidden="false" customHeight="false" outlineLevel="0" collapsed="false">
      <c r="A63" s="161" t="s">
        <v>238</v>
      </c>
      <c r="B63" s="133" t="s">
        <v>89</v>
      </c>
      <c r="C63" s="150" t="n">
        <v>45475</v>
      </c>
      <c r="D63" s="158" t="s">
        <v>215</v>
      </c>
      <c r="E63" s="169" t="n">
        <v>214</v>
      </c>
      <c r="F63" s="158" t="s">
        <v>204</v>
      </c>
      <c r="H63" s="158" t="s">
        <v>239</v>
      </c>
      <c r="I63" s="151" t="n">
        <v>45702</v>
      </c>
      <c r="J63" s="208"/>
    </row>
    <row r="64" customFormat="false" ht="15" hidden="false" customHeight="false" outlineLevel="0" collapsed="false">
      <c r="A64" s="161"/>
      <c r="B64" s="132"/>
      <c r="C64" s="150"/>
      <c r="D64" s="209" t="n">
        <v>158437</v>
      </c>
      <c r="E64" s="132"/>
      <c r="F64" s="158"/>
      <c r="H64" s="171" t="s">
        <v>240</v>
      </c>
      <c r="I64" s="151" t="n">
        <v>45702</v>
      </c>
      <c r="J64" s="208"/>
    </row>
    <row r="65" customFormat="false" ht="16.4" hidden="false" customHeight="false" outlineLevel="0" collapsed="false">
      <c r="A65" s="9"/>
      <c r="B65" s="173" t="s">
        <v>93</v>
      </c>
      <c r="C65" s="115" t="n">
        <v>45704</v>
      </c>
      <c r="D65" s="9" t="s">
        <v>241</v>
      </c>
      <c r="H65" s="9"/>
      <c r="J65" s="208"/>
    </row>
    <row r="66" customFormat="false" ht="15" hidden="false" customHeight="false" outlineLevel="0" collapsed="false">
      <c r="A66" s="9"/>
      <c r="B66" s="9" t="s">
        <v>131</v>
      </c>
      <c r="C66" s="115" t="n">
        <v>45705</v>
      </c>
      <c r="D66" s="9" t="s">
        <v>242</v>
      </c>
      <c r="H66" s="9"/>
      <c r="J66" s="208"/>
    </row>
    <row r="67" customFormat="false" ht="15" hidden="false" customHeight="false" outlineLevel="0" collapsed="false">
      <c r="A67" s="9"/>
      <c r="D67" s="9" t="s">
        <v>243</v>
      </c>
      <c r="H67" s="9"/>
      <c r="J67" s="208"/>
    </row>
    <row r="68" customFormat="false" ht="15" hidden="false" customHeight="false" outlineLevel="0" collapsed="false">
      <c r="A68" s="9"/>
      <c r="C68" s="174" t="s">
        <v>220</v>
      </c>
      <c r="D68" s="32" t="s">
        <v>244</v>
      </c>
      <c r="H68" s="9"/>
      <c r="J68" s="208"/>
    </row>
    <row r="69" customFormat="false" ht="15" hidden="false" customHeight="false" outlineLevel="0" collapsed="false">
      <c r="A69" s="9"/>
      <c r="C69" s="210" t="n">
        <v>45711</v>
      </c>
      <c r="D69" s="211" t="s">
        <v>245</v>
      </c>
      <c r="E69" s="211"/>
      <c r="F69" s="211"/>
      <c r="G69" s="212"/>
      <c r="H69" s="211"/>
      <c r="I69" s="213"/>
      <c r="J69" s="208"/>
    </row>
    <row r="70" customFormat="false" ht="15" hidden="false" customHeight="false" outlineLevel="0" collapsed="false">
      <c r="A70" s="9" t="s">
        <v>26</v>
      </c>
      <c r="B70" s="19"/>
      <c r="C70" s="180" t="s">
        <v>246</v>
      </c>
      <c r="D70" s="197"/>
      <c r="E70" s="197"/>
      <c r="F70" s="197"/>
      <c r="G70" s="196"/>
      <c r="H70" s="197"/>
      <c r="I70" s="196"/>
      <c r="J70" s="208"/>
    </row>
    <row r="71" customFormat="false" ht="15" hidden="false" customHeight="false" outlineLevel="0" collapsed="false">
      <c r="A71" s="9" t="n">
        <v>1</v>
      </c>
      <c r="B71" s="19"/>
      <c r="C71" s="180" t="s">
        <v>247</v>
      </c>
      <c r="D71" s="32" t="s">
        <v>248</v>
      </c>
      <c r="E71" s="197"/>
      <c r="F71" s="197"/>
      <c r="G71" s="196"/>
      <c r="H71" s="197"/>
      <c r="I71" s="196"/>
      <c r="J71" s="208"/>
    </row>
    <row r="72" customFormat="false" ht="15" hidden="false" customHeight="false" outlineLevel="0" collapsed="false">
      <c r="A72" s="9"/>
      <c r="D72" s="9" t="s">
        <v>249</v>
      </c>
      <c r="H72" s="9"/>
      <c r="I72" s="160" t="s">
        <v>250</v>
      </c>
      <c r="J72" s="208"/>
    </row>
    <row r="73" customFormat="false" ht="15" hidden="false" customHeight="false" outlineLevel="0" collapsed="false">
      <c r="A73" s="9"/>
      <c r="C73" s="180"/>
      <c r="D73" s="9" t="s">
        <v>251</v>
      </c>
      <c r="H73" s="9"/>
      <c r="I73" s="160" t="s">
        <v>252</v>
      </c>
      <c r="J73" s="208"/>
    </row>
    <row r="74" customFormat="false" ht="15" hidden="false" customHeight="false" outlineLevel="0" collapsed="false">
      <c r="A74" s="9"/>
      <c r="B74" s="182" t="s">
        <v>227</v>
      </c>
      <c r="C74" s="214" t="n">
        <v>45792</v>
      </c>
      <c r="D74" s="184" t="n">
        <v>0.399305555555556</v>
      </c>
      <c r="E74" s="19"/>
      <c r="F74" s="19"/>
      <c r="J74" s="208"/>
    </row>
    <row r="75" customFormat="false" ht="15" hidden="false" customHeight="false" outlineLevel="0" collapsed="false">
      <c r="A75" s="215"/>
      <c r="B75" s="216" t="s">
        <v>69</v>
      </c>
      <c r="C75" s="217" t="n">
        <v>45939</v>
      </c>
      <c r="D75" s="218" t="n">
        <v>0.402777777777778</v>
      </c>
      <c r="E75" s="219"/>
      <c r="F75" s="219"/>
      <c r="G75" s="220" t="s">
        <v>253</v>
      </c>
      <c r="H75" s="220" t="s">
        <v>254</v>
      </c>
      <c r="I75" s="220" t="s">
        <v>255</v>
      </c>
      <c r="J75" s="208"/>
    </row>
    <row r="76" customFormat="false" ht="15" hidden="false" customHeight="false" outlineLevel="0" collapsed="false">
      <c r="A76" s="9"/>
      <c r="C76" s="174"/>
      <c r="D76" s="9"/>
      <c r="H76" s="9"/>
    </row>
    <row r="77" customFormat="false" ht="15" hidden="false" customHeight="false" outlineLevel="0" collapsed="false">
      <c r="A77" s="9"/>
      <c r="C77" s="174"/>
      <c r="D77" s="9"/>
      <c r="H77" s="9"/>
    </row>
    <row r="78" customFormat="false" ht="15" hidden="false" customHeight="false" outlineLevel="0" collapsed="false">
      <c r="A78" s="221"/>
      <c r="B78" s="222" t="s">
        <v>198</v>
      </c>
      <c r="C78" s="223" t="s">
        <v>199</v>
      </c>
      <c r="D78" s="222"/>
      <c r="E78" s="224" t="s">
        <v>27</v>
      </c>
      <c r="F78" s="224"/>
      <c r="G78" s="225" t="s">
        <v>200</v>
      </c>
      <c r="H78" s="222" t="s">
        <v>201</v>
      </c>
      <c r="I78" s="222" t="s">
        <v>202</v>
      </c>
      <c r="J78" s="157"/>
    </row>
    <row r="79" customFormat="false" ht="15" hidden="false" customHeight="false" outlineLevel="0" collapsed="false">
      <c r="A79" s="158" t="s">
        <v>238</v>
      </c>
      <c r="B79" s="133" t="s">
        <v>156</v>
      </c>
      <c r="C79" s="150" t="n">
        <v>45676</v>
      </c>
      <c r="D79" s="169" t="s">
        <v>230</v>
      </c>
      <c r="E79" s="158"/>
      <c r="F79" s="158" t="s">
        <v>204</v>
      </c>
      <c r="H79" s="9" t="s">
        <v>256</v>
      </c>
      <c r="J79" s="157"/>
    </row>
    <row r="80" customFormat="false" ht="15" hidden="false" customHeight="false" outlineLevel="0" collapsed="false">
      <c r="A80" s="158" t="s">
        <v>238</v>
      </c>
      <c r="B80" s="133" t="s">
        <v>156</v>
      </c>
      <c r="C80" s="150"/>
      <c r="D80" s="158"/>
      <c r="E80" s="158"/>
      <c r="F80" s="158"/>
      <c r="H80" s="171" t="s">
        <v>257</v>
      </c>
      <c r="I80" s="226" t="n">
        <v>45714</v>
      </c>
      <c r="J80" s="157"/>
    </row>
    <row r="81" customFormat="false" ht="15" hidden="false" customHeight="false" outlineLevel="0" collapsed="false">
      <c r="A81" s="9"/>
      <c r="B81" s="19"/>
      <c r="D81" s="9"/>
      <c r="E81" s="9"/>
      <c r="F81" s="9"/>
      <c r="H81" s="9"/>
      <c r="J81" s="157"/>
    </row>
    <row r="82" customFormat="false" ht="15" hidden="false" customHeight="false" outlineLevel="0" collapsed="false">
      <c r="A82" s="9"/>
      <c r="B82" s="19"/>
      <c r="D82" s="9"/>
      <c r="E82" s="9"/>
      <c r="F82" s="9"/>
      <c r="H82" s="9"/>
      <c r="I82" s="160" t="s">
        <v>213</v>
      </c>
      <c r="J82" s="157"/>
    </row>
    <row r="83" customFormat="false" ht="15" hidden="false" customHeight="false" outlineLevel="0" collapsed="false">
      <c r="A83" s="161"/>
      <c r="B83" s="157"/>
      <c r="C83" s="162"/>
      <c r="D83" s="161"/>
      <c r="E83" s="161"/>
      <c r="F83" s="161"/>
      <c r="G83" s="163"/>
      <c r="H83" s="161"/>
      <c r="I83" s="163"/>
      <c r="J83" s="157"/>
    </row>
    <row r="84" customFormat="false" ht="15" hidden="false" customHeight="false" outlineLevel="0" collapsed="false">
      <c r="A84" s="9"/>
      <c r="C84" s="174"/>
      <c r="D84" s="9"/>
      <c r="H84" s="9"/>
    </row>
    <row r="85" customFormat="false" ht="15" hidden="false" customHeight="false" outlineLevel="0" collapsed="false">
      <c r="A85" s="9"/>
      <c r="C85" s="174"/>
      <c r="D85" s="9"/>
      <c r="H85" s="9"/>
    </row>
    <row r="86" customFormat="false" ht="15" hidden="false" customHeight="false" outlineLevel="0" collapsed="false">
      <c r="A86" s="203"/>
      <c r="B86" s="204" t="s">
        <v>198</v>
      </c>
      <c r="C86" s="205" t="s">
        <v>199</v>
      </c>
      <c r="D86" s="204"/>
      <c r="E86" s="206" t="s">
        <v>27</v>
      </c>
      <c r="F86" s="206"/>
      <c r="G86" s="207" t="s">
        <v>200</v>
      </c>
      <c r="H86" s="204" t="s">
        <v>201</v>
      </c>
      <c r="I86" s="204" t="s">
        <v>202</v>
      </c>
      <c r="J86" s="208"/>
    </row>
    <row r="87" customFormat="false" ht="15" hidden="false" customHeight="false" outlineLevel="0" collapsed="false">
      <c r="A87" s="158" t="s">
        <v>258</v>
      </c>
      <c r="B87" s="133" t="s">
        <v>70</v>
      </c>
      <c r="C87" s="227" t="n">
        <v>45603</v>
      </c>
      <c r="D87" s="158" t="s">
        <v>215</v>
      </c>
      <c r="E87" s="169" t="n">
        <v>156000</v>
      </c>
      <c r="F87" s="158" t="s">
        <v>204</v>
      </c>
      <c r="G87" s="151"/>
      <c r="H87" s="9" t="s">
        <v>259</v>
      </c>
      <c r="I87" s="8" t="n">
        <v>45705</v>
      </c>
      <c r="J87" s="208"/>
    </row>
    <row r="88" customFormat="false" ht="15" hidden="false" customHeight="false" outlineLevel="0" collapsed="false">
      <c r="A88" s="158"/>
      <c r="B88" s="132"/>
      <c r="C88" s="150"/>
      <c r="D88" s="158"/>
      <c r="E88" s="132"/>
      <c r="F88" s="158"/>
      <c r="G88" s="151"/>
      <c r="H88" s="171" t="s">
        <v>260</v>
      </c>
      <c r="I88" s="8" t="n">
        <v>45705</v>
      </c>
      <c r="J88" s="208"/>
    </row>
    <row r="89" customFormat="false" ht="15" hidden="false" customHeight="false" outlineLevel="0" collapsed="false">
      <c r="A89" s="9"/>
      <c r="B89" s="173" t="s">
        <v>261</v>
      </c>
      <c r="C89" s="190" t="n">
        <v>45704</v>
      </c>
      <c r="D89" s="9" t="s">
        <v>262</v>
      </c>
      <c r="F89" s="9"/>
      <c r="H89" s="9"/>
      <c r="J89" s="208"/>
    </row>
    <row r="90" customFormat="false" ht="15" hidden="false" customHeight="false" outlineLevel="0" collapsed="false">
      <c r="A90" s="9"/>
      <c r="B90" s="9" t="s">
        <v>131</v>
      </c>
      <c r="C90" s="115" t="n">
        <v>45705</v>
      </c>
      <c r="D90" s="9" t="s">
        <v>242</v>
      </c>
      <c r="H90" s="9"/>
      <c r="J90" s="208"/>
    </row>
    <row r="91" customFormat="false" ht="15" hidden="false" customHeight="false" outlineLevel="0" collapsed="false">
      <c r="A91" s="9"/>
      <c r="J91" s="208"/>
    </row>
    <row r="92" customFormat="false" ht="15" hidden="false" customHeight="false" outlineLevel="0" collapsed="false">
      <c r="A92" s="9"/>
      <c r="C92" s="174" t="s">
        <v>220</v>
      </c>
      <c r="D92" s="32" t="s">
        <v>244</v>
      </c>
      <c r="G92" s="228"/>
      <c r="H92" s="9"/>
      <c r="J92" s="208"/>
    </row>
    <row r="93" customFormat="false" ht="15" hidden="false" customHeight="false" outlineLevel="0" collapsed="false">
      <c r="A93" s="9"/>
      <c r="C93" s="174" t="n">
        <v>45706</v>
      </c>
      <c r="D93" s="9" t="s">
        <v>235</v>
      </c>
      <c r="H93" s="9"/>
      <c r="J93" s="208"/>
    </row>
    <row r="94" customFormat="false" ht="15" hidden="false" customHeight="false" outlineLevel="0" collapsed="false">
      <c r="A94" s="9"/>
      <c r="C94" s="229" t="n">
        <v>45711</v>
      </c>
      <c r="D94" s="192" t="s">
        <v>245</v>
      </c>
      <c r="E94" s="192"/>
      <c r="F94" s="192"/>
      <c r="G94" s="194"/>
      <c r="H94" s="192"/>
      <c r="I94" s="195"/>
      <c r="J94" s="208"/>
    </row>
    <row r="95" customFormat="false" ht="15" hidden="false" customHeight="false" outlineLevel="0" collapsed="false">
      <c r="A95" s="9"/>
      <c r="B95" s="9" t="s">
        <v>263</v>
      </c>
      <c r="C95" s="230"/>
      <c r="D95" s="9" t="s">
        <v>264</v>
      </c>
      <c r="H95" s="9"/>
      <c r="J95" s="208"/>
    </row>
    <row r="96" customFormat="false" ht="15" hidden="false" customHeight="false" outlineLevel="0" collapsed="false">
      <c r="A96" s="9"/>
      <c r="D96" s="9" t="s">
        <v>265</v>
      </c>
      <c r="H96" s="9"/>
      <c r="J96" s="208"/>
    </row>
    <row r="97" customFormat="false" ht="15" hidden="false" customHeight="false" outlineLevel="0" collapsed="false">
      <c r="A97" s="9"/>
      <c r="D97" s="9"/>
      <c r="H97" s="9"/>
      <c r="I97" s="160" t="s">
        <v>266</v>
      </c>
      <c r="J97" s="208"/>
    </row>
    <row r="98" customFormat="false" ht="15" hidden="false" customHeight="false" outlineLevel="0" collapsed="false">
      <c r="A98" s="9"/>
      <c r="D98" s="9"/>
      <c r="H98" s="9"/>
      <c r="I98" s="160" t="s">
        <v>250</v>
      </c>
      <c r="J98" s="208"/>
    </row>
    <row r="99" customFormat="false" ht="15" hidden="false" customHeight="false" outlineLevel="0" collapsed="false">
      <c r="B99" s="231" t="s">
        <v>227</v>
      </c>
      <c r="C99" s="232" t="n">
        <v>45792</v>
      </c>
      <c r="D99" s="233" t="n">
        <v>0.395833333333333</v>
      </c>
      <c r="E99" s="19"/>
      <c r="F99" s="19" t="s">
        <v>267</v>
      </c>
      <c r="H99" s="19"/>
      <c r="I99" s="19"/>
      <c r="J99" s="208"/>
    </row>
    <row r="100" customFormat="false" ht="15" hidden="false" customHeight="false" outlineLevel="0" collapsed="false">
      <c r="A100" s="208"/>
      <c r="B100" s="234" t="s">
        <v>69</v>
      </c>
      <c r="C100" s="235" t="n">
        <v>45939</v>
      </c>
      <c r="D100" s="236" t="n">
        <v>0.395833333333333</v>
      </c>
      <c r="E100" s="208"/>
      <c r="F100" s="208"/>
      <c r="G100" s="237"/>
      <c r="H100" s="208"/>
      <c r="I100" s="208"/>
      <c r="J100" s="208"/>
    </row>
    <row r="101" customFormat="false" ht="15" hidden="false" customHeight="false" outlineLevel="0" collapsed="false">
      <c r="A101" s="125"/>
      <c r="B101" s="238"/>
      <c r="C101" s="239"/>
      <c r="D101" s="240"/>
      <c r="E101" s="125"/>
      <c r="F101" s="125"/>
      <c r="G101" s="119"/>
      <c r="H101" s="125"/>
      <c r="I101" s="125"/>
      <c r="J101" s="125"/>
    </row>
    <row r="102" customFormat="false" ht="15" hidden="false" customHeight="false" outlineLevel="0" collapsed="false">
      <c r="A102" s="125"/>
      <c r="B102" s="238"/>
      <c r="C102" s="239"/>
      <c r="D102" s="240"/>
      <c r="E102" s="125"/>
      <c r="F102" s="125"/>
      <c r="G102" s="119"/>
      <c r="H102" s="125"/>
      <c r="I102" s="125"/>
      <c r="J102" s="125"/>
    </row>
    <row r="103" customFormat="false" ht="15" hidden="false" customHeight="false" outlineLevel="0" collapsed="false">
      <c r="A103" s="241"/>
      <c r="B103" s="241"/>
      <c r="C103" s="242"/>
      <c r="D103" s="241"/>
      <c r="E103" s="241"/>
      <c r="F103" s="241"/>
      <c r="G103" s="243"/>
      <c r="H103" s="241"/>
      <c r="I103" s="243"/>
    </row>
    <row r="104" customFormat="false" ht="15" hidden="false" customHeight="false" outlineLevel="0" collapsed="false">
      <c r="A104" s="61" t="s">
        <v>258</v>
      </c>
      <c r="B104" s="133" t="s">
        <v>164</v>
      </c>
      <c r="C104" s="134" t="n">
        <v>45588</v>
      </c>
      <c r="D104" s="61" t="s">
        <v>230</v>
      </c>
      <c r="E104" s="135"/>
      <c r="F104" s="135"/>
      <c r="G104" s="244" t="n">
        <v>45672</v>
      </c>
      <c r="H104" s="61" t="s">
        <v>268</v>
      </c>
      <c r="I104" s="60" t="n">
        <v>45625</v>
      </c>
    </row>
    <row r="105" customFormat="false" ht="15" hidden="false" customHeight="false" outlineLevel="0" collapsed="false">
      <c r="A105" s="61"/>
      <c r="B105" s="133" t="s">
        <v>269</v>
      </c>
      <c r="C105" s="134"/>
      <c r="D105" s="61"/>
      <c r="E105" s="135"/>
      <c r="F105" s="135"/>
      <c r="G105" s="244"/>
      <c r="H105" s="61"/>
      <c r="I105" s="60"/>
    </row>
    <row r="106" customFormat="false" ht="15" hidden="false" customHeight="false" outlineLevel="0" collapsed="false">
      <c r="A106" s="61" t="s">
        <v>258</v>
      </c>
      <c r="B106" s="133" t="s">
        <v>164</v>
      </c>
      <c r="C106" s="134" t="n">
        <v>45588</v>
      </c>
      <c r="D106" s="61" t="s">
        <v>230</v>
      </c>
      <c r="E106" s="135"/>
      <c r="F106" s="135"/>
      <c r="G106" s="244" t="n">
        <v>45672</v>
      </c>
      <c r="H106" s="245" t="s">
        <v>270</v>
      </c>
      <c r="I106" s="60" t="n">
        <v>45625</v>
      </c>
    </row>
    <row r="107" customFormat="false" ht="15" hidden="false" customHeight="false" outlineLevel="0" collapsed="false">
      <c r="A107" s="171" t="s">
        <v>258</v>
      </c>
      <c r="B107" s="133" t="s">
        <v>161</v>
      </c>
      <c r="C107" s="246" t="n">
        <v>45475</v>
      </c>
      <c r="D107" s="171" t="s">
        <v>215</v>
      </c>
      <c r="E107" s="247" t="n">
        <v>113</v>
      </c>
      <c r="F107" s="171" t="s">
        <v>204</v>
      </c>
      <c r="G107" s="244" t="n">
        <v>45672</v>
      </c>
      <c r="H107" s="171" t="s">
        <v>259</v>
      </c>
      <c r="I107" s="248" t="n">
        <v>45705</v>
      </c>
    </row>
    <row r="108" customFormat="false" ht="15" hidden="false" customHeight="false" outlineLevel="0" collapsed="false">
      <c r="A108" s="171"/>
      <c r="B108" s="133" t="s">
        <v>271</v>
      </c>
      <c r="C108" s="246"/>
      <c r="D108" s="171"/>
      <c r="E108" s="247"/>
      <c r="F108" s="171"/>
      <c r="G108" s="244"/>
      <c r="H108" s="171"/>
      <c r="I108" s="248"/>
    </row>
    <row r="109" customFormat="false" ht="15" hidden="false" customHeight="false" outlineLevel="0" collapsed="false">
      <c r="A109" s="171" t="s">
        <v>258</v>
      </c>
      <c r="B109" s="133" t="s">
        <v>161</v>
      </c>
      <c r="C109" s="246"/>
      <c r="D109" s="171" t="s">
        <v>215</v>
      </c>
      <c r="E109" s="247" t="n">
        <v>113</v>
      </c>
      <c r="F109" s="171" t="s">
        <v>204</v>
      </c>
      <c r="G109" s="244" t="n">
        <v>45672</v>
      </c>
      <c r="H109" s="249" t="s">
        <v>260</v>
      </c>
      <c r="I109" s="248" t="n">
        <v>45705</v>
      </c>
    </row>
    <row r="113" customFormat="false" ht="15" hidden="false" customHeight="false" outlineLevel="0" collapsed="false">
      <c r="A113" s="250"/>
      <c r="B113" s="241"/>
      <c r="C113" s="242"/>
      <c r="D113" s="250"/>
      <c r="E113" s="241"/>
      <c r="F113" s="243"/>
      <c r="G113" s="243"/>
      <c r="H113" s="243"/>
      <c r="I113" s="243"/>
    </row>
    <row r="114" customFormat="false" ht="15" hidden="false" customHeight="false" outlineLevel="0" collapsed="false">
      <c r="A114" s="61" t="s">
        <v>272</v>
      </c>
      <c r="B114" s="215" t="s">
        <v>166</v>
      </c>
      <c r="C114" s="251" t="n">
        <v>45438</v>
      </c>
      <c r="D114" s="61" t="s">
        <v>215</v>
      </c>
      <c r="E114" s="61" t="n">
        <v>0</v>
      </c>
      <c r="F114" s="252" t="s">
        <v>273</v>
      </c>
      <c r="G114" s="136"/>
      <c r="H114" s="61" t="s">
        <v>274</v>
      </c>
      <c r="I114" s="136"/>
    </row>
    <row r="115" customFormat="false" ht="15" hidden="false" customHeight="false" outlineLevel="0" collapsed="false">
      <c r="A115" s="61"/>
      <c r="B115" s="253" t="s">
        <v>275</v>
      </c>
      <c r="C115" s="254" t="n">
        <v>45486</v>
      </c>
      <c r="D115" s="61" t="s">
        <v>276</v>
      </c>
      <c r="E115" s="61"/>
      <c r="F115" s="255" t="s">
        <v>273</v>
      </c>
      <c r="G115" s="256" t="n">
        <v>45588</v>
      </c>
      <c r="H115" s="61" t="s">
        <v>277</v>
      </c>
      <c r="I115" s="136"/>
    </row>
    <row r="116" customFormat="false" ht="15" hidden="false" customHeight="false" outlineLevel="0" collapsed="false">
      <c r="A116" s="61"/>
      <c r="B116" s="253" t="s">
        <v>278</v>
      </c>
      <c r="C116" s="254" t="n">
        <v>45590</v>
      </c>
      <c r="D116" s="61" t="s">
        <v>208</v>
      </c>
      <c r="E116" s="61"/>
      <c r="F116" s="255" t="s">
        <v>273</v>
      </c>
      <c r="G116" s="256" t="n">
        <v>45688</v>
      </c>
      <c r="H116" s="61" t="s">
        <v>279</v>
      </c>
      <c r="I116" s="136"/>
    </row>
    <row r="117" customFormat="false" ht="15" hidden="false" customHeight="false" outlineLevel="0" collapsed="false">
      <c r="A117" s="61"/>
      <c r="B117" s="257"/>
      <c r="C117" s="258"/>
      <c r="D117" s="257" t="s">
        <v>280</v>
      </c>
      <c r="E117" s="257"/>
      <c r="F117" s="259"/>
      <c r="G117" s="260" t="n">
        <v>45782</v>
      </c>
      <c r="H117" s="61" t="s">
        <v>281</v>
      </c>
      <c r="I117" s="136"/>
    </row>
    <row r="118" customFormat="false" ht="15" hidden="false" customHeight="false" outlineLevel="0" collapsed="false">
      <c r="A118" s="9"/>
      <c r="B118" s="261"/>
      <c r="C118" s="262"/>
      <c r="D118" s="9"/>
      <c r="E118" s="261"/>
      <c r="F118" s="263"/>
      <c r="G118" s="264"/>
    </row>
    <row r="119" customFormat="false" ht="15" hidden="false" customHeight="false" outlineLevel="0" collapsed="false">
      <c r="A119" s="9"/>
      <c r="B119" s="261"/>
      <c r="C119" s="262"/>
      <c r="D119" s="9"/>
      <c r="E119" s="261"/>
      <c r="F119" s="263"/>
      <c r="G119" s="26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G15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E16" activeCellId="0" sqref="E16"/>
    </sheetView>
  </sheetViews>
  <sheetFormatPr defaultColWidth="8.57421875" defaultRowHeight="15" customHeight="false" zeroHeight="false" outlineLevelRow="0" outlineLevelCol="0"/>
  <cols>
    <col collapsed="false" customWidth="true" hidden="false" outlineLevel="0" max="1" min="1" style="8" width="9.14"/>
    <col collapsed="false" customWidth="true" hidden="false" outlineLevel="0" max="6" min="6" style="2" width="12.14"/>
  </cols>
  <sheetData>
    <row r="4" customFormat="false" ht="15" hidden="false" customHeight="false" outlineLevel="0" collapsed="false">
      <c r="A4" s="8" t="n">
        <v>45967</v>
      </c>
      <c r="B4" s="2" t="s">
        <v>282</v>
      </c>
      <c r="D4" s="2" t="s">
        <v>283</v>
      </c>
      <c r="E4" s="2" t="s">
        <v>284</v>
      </c>
    </row>
    <row r="5" customFormat="false" ht="15" hidden="false" customHeight="false" outlineLevel="0" collapsed="false">
      <c r="A5" s="8" t="n">
        <v>45927</v>
      </c>
      <c r="B5" s="2" t="s">
        <v>285</v>
      </c>
      <c r="D5" s="2" t="s">
        <v>283</v>
      </c>
      <c r="E5" s="2" t="s">
        <v>286</v>
      </c>
    </row>
    <row r="6" customFormat="false" ht="15" hidden="false" customHeight="false" outlineLevel="0" collapsed="false">
      <c r="A6" s="8" t="n">
        <v>45708</v>
      </c>
      <c r="B6" s="9" t="s">
        <v>287</v>
      </c>
      <c r="D6" s="9" t="s">
        <v>288</v>
      </c>
      <c r="F6" s="9" t="s">
        <v>289</v>
      </c>
      <c r="G6" s="9" t="s">
        <v>290</v>
      </c>
    </row>
    <row r="7" customFormat="false" ht="15" hidden="false" customHeight="false" outlineLevel="0" collapsed="false">
      <c r="G7" s="9" t="s">
        <v>291</v>
      </c>
    </row>
    <row r="8" customFormat="false" ht="15" hidden="false" customHeight="false" outlineLevel="0" collapsed="false">
      <c r="B8" s="9" t="s">
        <v>42</v>
      </c>
      <c r="D8" s="8" t="n">
        <v>46064</v>
      </c>
      <c r="E8" s="5" t="n">
        <v>0.416666666666667</v>
      </c>
    </row>
    <row r="9" customFormat="false" ht="15" hidden="false" customHeight="false" outlineLevel="0" collapsed="false">
      <c r="D9" s="9" t="s">
        <v>292</v>
      </c>
    </row>
    <row r="14" customFormat="false" ht="15" hidden="false" customHeight="false" outlineLevel="0" collapsed="false">
      <c r="B14" s="9" t="s">
        <v>293</v>
      </c>
    </row>
    <row r="15" customFormat="false" ht="15" hidden="false" customHeight="false" outlineLevel="0" collapsed="false">
      <c r="B15" s="9" t="s">
        <v>294</v>
      </c>
      <c r="D15" s="8" t="n">
        <v>46028</v>
      </c>
      <c r="E15" s="5" t="n">
        <v>0.427083333333333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8" activeCellId="0" sqref="A8"/>
    </sheetView>
  </sheetViews>
  <sheetFormatPr defaultColWidth="10.16015625" defaultRowHeight="13.8" customHeight="false" zeroHeight="false" outlineLevelRow="0" outlineLevelCol="0"/>
  <cols>
    <col collapsed="false" customWidth="false" hidden="false" outlineLevel="0" max="6" min="4" style="265" width="10.16"/>
  </cols>
  <sheetData>
    <row r="2" customFormat="false" ht="13.8" hidden="false" customHeight="false" outlineLevel="0" collapsed="false">
      <c r="B2" s="0" t="s">
        <v>52</v>
      </c>
    </row>
    <row r="4" customFormat="false" ht="13.8" hidden="false" customHeight="false" outlineLevel="0" collapsed="false">
      <c r="B4" s="0" t="n">
        <v>2023</v>
      </c>
      <c r="E4" s="265" t="n">
        <v>84000</v>
      </c>
    </row>
    <row r="5" customFormat="false" ht="13.8" hidden="false" customHeight="false" outlineLevel="0" collapsed="false">
      <c r="B5" s="0" t="n">
        <v>2024</v>
      </c>
      <c r="C5" s="0" t="n">
        <v>63.47</v>
      </c>
      <c r="D5" s="265" t="n">
        <f aca="false">E4*C5/100</f>
        <v>53314.8</v>
      </c>
      <c r="E5" s="265" t="n">
        <f aca="false">E4+D5</f>
        <v>137314.8</v>
      </c>
      <c r="F5" s="265" t="n">
        <f aca="false">F4+E5</f>
        <v>137314.8</v>
      </c>
    </row>
    <row r="6" customFormat="false" ht="13.8" hidden="false" customHeight="false" outlineLevel="0" collapsed="false">
      <c r="B6" s="0" t="n">
        <v>2025</v>
      </c>
      <c r="C6" s="0" t="n">
        <v>38.36</v>
      </c>
      <c r="D6" s="265" t="n">
        <f aca="false">E5*C6/100</f>
        <v>52673.95728</v>
      </c>
      <c r="E6" s="265" t="n">
        <f aca="false">E5+D6</f>
        <v>189988.75728</v>
      </c>
      <c r="F6" s="265" t="n">
        <f aca="false">F5+E6</f>
        <v>327303.55728</v>
      </c>
    </row>
    <row r="7" customFormat="false" ht="13.8" hidden="false" customHeight="false" outlineLevel="0" collapsed="false">
      <c r="B7" s="0" t="n">
        <v>2026</v>
      </c>
      <c r="C7" s="0" t="n">
        <v>31.49</v>
      </c>
      <c r="D7" s="265" t="n">
        <f aca="false">E6*C7/100</f>
        <v>59827.459667472</v>
      </c>
      <c r="E7" s="265" t="n">
        <f aca="false">E6+D7</f>
        <v>249816.216947472</v>
      </c>
      <c r="F7" s="265" t="n">
        <f aca="false">F6+E7</f>
        <v>577119.774227472</v>
      </c>
    </row>
    <row r="8" customFormat="false" ht="13.8" hidden="false" customHeight="false" outlineLevel="0" collapsed="false">
      <c r="F8" s="265" t="n">
        <f aca="false">F7+E8</f>
        <v>577119.774227472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2026-10-07T16:42:31Z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